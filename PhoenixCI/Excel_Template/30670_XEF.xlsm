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DB3E51FD-B9F8-4989-AA37-8746BEF974A4}" xr6:coauthVersionLast="36" xr6:coauthVersionMax="36" xr10:uidLastSave="{00000000-0000-0000-0000-000000000000}"/>
  <bookViews>
    <workbookView xWindow="32760" yWindow="32760" windowWidth="28800" windowHeight="11595" activeTab="2"/>
  </bookViews>
  <sheets>
    <sheet name="Data" sheetId="7" r:id="rId1"/>
    <sheet name="走勢圖" sheetId="49" r:id="rId2"/>
    <sheet name="印表" sheetId="6" r:id="rId3"/>
  </sheets>
  <externalReferences>
    <externalReference r:id="rId4"/>
  </externalReferences>
  <definedNames>
    <definedName name="EURUSD">OFFSET(走勢圖!$B$2,COUNTA(走勢圖!$B$2:$B$9993)-10,0,10,1)</definedName>
    <definedName name="OLE_LINK15" localSheetId="2">印表!$L$70</definedName>
    <definedName name="_xlnm.Print_Area" localSheetId="2">印表!$A$1:$K$96</definedName>
    <definedName name="USDJPY">OFFSET(走勢圖!$C$2,COUNTA(走勢圖!$C$2:$C$9993)-10,0,10,1)</definedName>
    <definedName name="XEF未平倉量">OFFSET(#REF!,COUNTA(#REF!)-印表!$N$6,0,印表!$N$6,1)</definedName>
    <definedName name="XEF交易量">OFFSET(#REF!,COUNTA(#REF!)-印表!$N$6,0,印表!$N$6,1)</definedName>
    <definedName name="XEF價格">OFFSET(走勢圖!$D$2,COUNTA(走勢圖!$D$2:$D$9993)-10,0,10,1)</definedName>
    <definedName name="XJF未平倉量">OFFSET(#REF!,COUNTA(#REF!)-印表!$N$6,0,印表!$N$6,1)</definedName>
    <definedName name="XJF交易量">OFFSET(#REF!,COUNTA(#REF!)-印表!$N$6,0,印表!$N$6,1)</definedName>
    <definedName name="XJF價格">OFFSET(走勢圖!$E$2,COUNTA(走勢圖!$E$2:$E$9993)-10,0,10,1)</definedName>
    <definedName name="日期">OFFSET(#REF!,COUNTA(#REF!)-印表!$N$6,0,印表!$N$6,1)</definedName>
    <definedName name="日期1">OFFSET(走勢圖!$A$2,COUNTA(走勢圖!$A$2:$A$9993)-10,0,10,1)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7" l="1"/>
  <c r="G36" i="6" s="1"/>
  <c r="E22" i="7"/>
  <c r="B10" i="6" s="1"/>
  <c r="B1" i="7"/>
  <c r="A22" i="7" s="1"/>
  <c r="B22" i="7"/>
  <c r="D22" i="7"/>
  <c r="B6" i="6" s="1"/>
  <c r="B24" i="7"/>
  <c r="D26" i="7"/>
  <c r="K3" i="6"/>
  <c r="B36" i="6"/>
  <c r="B24" i="6"/>
  <c r="A5" i="6"/>
  <c r="C22" i="7"/>
  <c r="G24" i="6"/>
</calcChain>
</file>

<file path=xl/sharedStrings.xml><?xml version="1.0" encoding="utf-8"?>
<sst xmlns="http://schemas.openxmlformats.org/spreadsheetml/2006/main" count="41" uniqueCount="29">
  <si>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</si>
  <si>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</si>
  <si>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</si>
  <si>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</si>
  <si>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t xml:space="preserve">     匯率期貨及選擇權週報暨相關資料 </t>
    <phoneticPr fontId="1" type="noConversion"/>
  </si>
  <si>
    <r>
      <t>XEF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</si>
  <si>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XJF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</si>
  <si>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r>
      <t>歐元兌美元及美元兌日圓匯率期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</si>
  <si>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XJF</t>
    <phoneticPr fontId="1" type="noConversion"/>
  </si>
  <si>
    <t>XEF</t>
    <phoneticPr fontId="1" type="noConversion"/>
  </si>
  <si>
    <t>XEF(近月)</t>
    <phoneticPr fontId="3" type="noConversion"/>
  </si>
  <si>
    <t>XJF(近月)</t>
    <phoneticPr fontId="3" type="noConversion"/>
  </si>
  <si>
    <t>EURUSD</t>
    <phoneticPr fontId="3" type="noConversion"/>
  </si>
  <si>
    <t>歐元兌美元及美元兌日圓匯率期貨契約規格</t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</si>
  <si>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</si>
  <si>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</si>
  <si>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</si>
  <si>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第4季月</t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</si>
  <si>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</si>
  <si>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期間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</si>
  <si>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</si>
  <si>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</si>
  <si>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</si>
  <si>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</si>
  <si>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(美金)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</si>
  <si>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</si>
  <si>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r>
      <t>成交名目本金
(日圓)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</si>
  <si>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(日圓)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</si>
  <si>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>USDJPY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</si>
</sst>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.0%"/>
    <numFmt numFmtId="177" formatCode="0.0000_ ;[Red]\-0.0000\ "/>
    <numFmt numFmtId="178" formatCode="0_ "/>
    <numFmt numFmtId="179" formatCode="0.00_ "/>
    <numFmt numFmtId="180" formatCode="_-* #,##0_-;\-* #,##0_-;_-* &quot;-&quot;??_-;_-@_-"/>
  </numFmts>
  <fonts count="39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color theme="1"/>
      <name val="標楷體"/>
      <family val="4"/>
      <charset val="136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2"/>
      <color rgb="FFFF0000"/>
      <name val="新細明體"/>
      <family val="1"/>
      <charset val="136"/>
      <scheme val="major"/>
    </font>
    <font>
      <sz val="12"/>
      <color theme="1"/>
      <name val="細明體"/>
      <family val="3"/>
      <charset val="136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26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7" fillId="0" borderId="0" xfId="0" applyFont="1" applyBorder="1">
      <alignment vertical="center"/>
    </xf>
    <xf numFmtId="0" fontId="27" fillId="0" borderId="10" xfId="0" applyFont="1" applyBorder="1">
      <alignment vertical="center"/>
    </xf>
    <xf numFmtId="0" fontId="0" fillId="0" borderId="10" xfId="0" applyBorder="1">
      <alignment vertical="center"/>
    </xf>
    <xf numFmtId="0" fontId="28" fillId="0" borderId="10" xfId="0" applyFont="1" applyBorder="1">
      <alignment vertical="center"/>
    </xf>
    <xf numFmtId="14" fontId="29" fillId="0" borderId="10" xfId="0" applyNumberFormat="1" applyFont="1" applyBorder="1" applyAlignment="1"/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8" fillId="0" borderId="10" xfId="0" quotePrefix="1" applyFont="1" applyBorder="1" applyAlignment="1"/>
    <xf numFmtId="0" fontId="6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0" applyFont="1">
      <alignment vertical="center"/>
    </xf>
    <xf numFmtId="178" fontId="10" fillId="0" borderId="0" xfId="0" applyNumberFormat="1" applyFont="1">
      <alignment vertical="center"/>
    </xf>
    <xf numFmtId="0" fontId="26" fillId="0" borderId="0" xfId="0" applyFont="1" applyFill="1">
      <alignment vertical="center"/>
    </xf>
    <xf numFmtId="0" fontId="32" fillId="0" borderId="0" xfId="0" quotePrefix="1" applyFont="1">
      <alignment vertical="center"/>
    </xf>
    <xf numFmtId="0" fontId="0" fillId="0" borderId="0" xfId="0" applyFill="1">
      <alignment vertical="center"/>
    </xf>
    <xf numFmtId="14" fontId="26" fillId="0" borderId="0" xfId="0" applyNumberFormat="1" applyFont="1" applyFill="1">
      <alignment vertical="center"/>
    </xf>
    <xf numFmtId="14" fontId="26" fillId="0" borderId="0" xfId="0" applyNumberFormat="1" applyFont="1" applyFill="1" applyAlignment="1">
      <alignment vertical="center" wrapText="1"/>
    </xf>
    <xf numFmtId="0" fontId="26" fillId="0" borderId="0" xfId="0" applyFont="1" applyFill="1" applyAlignment="1">
      <alignment vertical="center" wrapText="1"/>
    </xf>
    <xf numFmtId="0" fontId="10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6" fillId="0" borderId="0" xfId="0" quotePrefix="1" applyFont="1">
      <alignment vertical="center"/>
    </xf>
    <xf numFmtId="0" fontId="34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0" fontId="25" fillId="0" borderId="0" xfId="0" applyFont="1" applyFill="1">
      <alignment vertical="center"/>
    </xf>
    <xf numFmtId="179" fontId="25" fillId="0" borderId="0" xfId="0" applyNumberFormat="1" applyFont="1" applyFill="1">
      <alignment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0" fillId="0" borderId="0" xfId="0">
      <alignment vertical="center"/>
    </xf>
    <xf numFmtId="0" fontId="25" fillId="0" borderId="0" xfId="0" applyNumberFormat="1" applyFont="1">
      <alignment vertical="center"/>
    </xf>
    <xf numFmtId="0" fontId="25" fillId="0" borderId="0" xfId="0" applyFont="1">
      <alignment vertical="center"/>
    </xf>
    <xf numFmtId="0" fontId="0" fillId="0" borderId="0" xfId="0" applyFont="1" applyFill="1" applyAlignment="1">
      <alignment horizontal="left" vertical="center"/>
    </xf>
    <xf numFmtId="180" fontId="25" fillId="0" borderId="0" xfId="20" applyNumberFormat="1" applyFont="1">
      <alignment vertical="center"/>
    </xf>
    <xf numFmtId="180" fontId="36" fillId="0" borderId="0" xfId="20" applyNumberFormat="1" applyFont="1">
      <alignment vertical="center"/>
    </xf>
    <xf numFmtId="0" fontId="37" fillId="33" borderId="0" xfId="0" applyFont="1" applyFill="1" applyAlignment="1">
      <alignment horizontal="center" vertical="center"/>
    </xf>
    <xf numFmtId="0" fontId="33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9" fillId="0" borderId="0" xfId="19" applyFont="1"/>
    <xf numFmtId="0" fontId="38" fillId="0" borderId="0" xfId="0" applyFont="1" applyAlignment="1">
      <alignment vertical="top" wrapText="1"/>
    </xf>
    <xf numFmtId="0" fontId="33" fillId="0" borderId="0" xfId="0" applyFont="1">
      <alignment vertical="center"/>
    </xf>
    <xf numFmtId="0" fontId="38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77324263038542E-2"/>
          <c:y val="3.7374174382048396E-2"/>
          <c:w val="0.90323130691531017"/>
          <c:h val="0.73561045253959767"/>
        </c:manualLayout>
      </c:layout>
      <c:lineChart>
        <c:grouping val="standard"/>
        <c:varyColors val="0"/>
        <c:ser>
          <c:idx val="0"/>
          <c:order val="0"/>
          <c:tx>
            <c:strRef>
              <c:f>[1]工作表1!$B$2</c:f>
              <c:strCache>
                <c:ptCount val="1"/>
                <c:pt idx="0">
                  <c:v>CNH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[1]工作表1!$B$16:$B$30</c:f>
              <c:numCache>
                <c:formatCode>General</c:formatCode>
                <c:ptCount val="15"/>
                <c:pt idx="0">
                  <c:v>6.2140000000000004</c:v>
                </c:pt>
                <c:pt idx="1">
                  <c:v>6.2091000000000003</c:v>
                </c:pt>
                <c:pt idx="2">
                  <c:v>6.2118000000000002</c:v>
                </c:pt>
                <c:pt idx="3">
                  <c:v>6.2137000000000002</c:v>
                </c:pt>
                <c:pt idx="4">
                  <c:v>6.2214999999999998</c:v>
                </c:pt>
                <c:pt idx="5">
                  <c:v>6.2203999999999997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6.2196999999999996</c:v>
                </c:pt>
                <c:pt idx="9">
                  <c:v>6.22</c:v>
                </c:pt>
                <c:pt idx="10">
                  <c:v>6.2194000000000003</c:v>
                </c:pt>
                <c:pt idx="11">
                  <c:v>6.2173999999999996</c:v>
                </c:pt>
                <c:pt idx="12">
                  <c:v>6.2196999999999996</c:v>
                </c:pt>
                <c:pt idx="13">
                  <c:v>6.2187000000000001</c:v>
                </c:pt>
                <c:pt idx="14">
                  <c:v>6.2178000000000004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3-4F13-B9F2-06F192F1E4D1}"/>
            </c:ext>
          </c:extLst>
        </c:ser>
        <c:ser>
          <c:idx val="1"/>
          <c:order val="1"/>
          <c:tx>
            <c:strRef>
              <c:f>[1]工作表1!$C$2</c:f>
              <c:strCache>
                <c:ptCount val="1"/>
                <c:pt idx="0">
                  <c:v>CNT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[1]工作表1!$C$16:$C$30</c:f>
              <c:numCache>
                <c:formatCode>General</c:formatCode>
                <c:ptCount val="15"/>
                <c:pt idx="0">
                  <c:v>6.2138</c:v>
                </c:pt>
                <c:pt idx="1">
                  <c:v>6.2135999999999996</c:v>
                </c:pt>
                <c:pt idx="2">
                  <c:v>6.2103999999999999</c:v>
                </c:pt>
                <c:pt idx="3">
                  <c:v>6.2140000000000004</c:v>
                </c:pt>
                <c:pt idx="4">
                  <c:v>6.2214999999999998</c:v>
                </c:pt>
                <c:pt idx="5">
                  <c:v>6.2201000000000004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6.2195</c:v>
                </c:pt>
                <c:pt idx="9">
                  <c:v>6.2198000000000002</c:v>
                </c:pt>
                <c:pt idx="10">
                  <c:v>6.2194000000000003</c:v>
                </c:pt>
                <c:pt idx="11">
                  <c:v>6.2172999999999998</c:v>
                </c:pt>
                <c:pt idx="12">
                  <c:v>6.2196999999999996</c:v>
                </c:pt>
                <c:pt idx="13">
                  <c:v>6.2186000000000003</c:v>
                </c:pt>
                <c:pt idx="14">
                  <c:v>6.2176999999999998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A3-4F13-B9F2-06F192F1E4D1}"/>
            </c:ext>
          </c:extLst>
        </c:ser>
        <c:ser>
          <c:idx val="2"/>
          <c:order val="2"/>
          <c:tx>
            <c:strRef>
              <c:f>[1]工作表1!$D$2</c:f>
              <c:strCache>
                <c:ptCount val="1"/>
                <c:pt idx="0">
                  <c:v>RHF(近月)</c:v>
                </c:pt>
              </c:strCache>
            </c:strRef>
          </c:tx>
          <c:spPr>
            <a:ln w="19050" cap="rnd">
              <a:solidFill>
                <a:srgbClr val="339933"/>
              </a:solidFill>
              <a:prstDash val="solid"/>
              <a:round/>
            </a:ln>
            <a:effectLst/>
          </c:spPr>
          <c:marker>
            <c:symbol val="diamond"/>
            <c:size val="3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[1]工作表1!$D$16:$D$30</c:f>
              <c:numCache>
                <c:formatCode>General</c:formatCode>
                <c:ptCount val="15"/>
                <c:pt idx="0">
                  <c:v>6.2271999999999998</c:v>
                </c:pt>
                <c:pt idx="1">
                  <c:v>6.2252999999999998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6.2332999999999998</c:v>
                </c:pt>
                <c:pt idx="5">
                  <c:v>6.2343000000000002</c:v>
                </c:pt>
                <c:pt idx="6">
                  <c:v>6.2270000000000003</c:v>
                </c:pt>
                <c:pt idx="7">
                  <c:v>6.2266000000000004</c:v>
                </c:pt>
                <c:pt idx="8">
                  <c:v>6.2268999999999997</c:v>
                </c:pt>
                <c:pt idx="9">
                  <c:v>6.2305000000000001</c:v>
                </c:pt>
                <c:pt idx="10">
                  <c:v>6.2244999999999999</c:v>
                </c:pt>
                <c:pt idx="11">
                  <c:v>6.2229999999999999</c:v>
                </c:pt>
                <c:pt idx="12">
                  <c:v>6.2245999999999997</c:v>
                </c:pt>
                <c:pt idx="13">
                  <c:v>6.2237999999999998</c:v>
                </c:pt>
                <c:pt idx="14">
                  <c:v>6.2229999999999999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A3-4F13-B9F2-06F192F1E4D1}"/>
            </c:ext>
          </c:extLst>
        </c:ser>
        <c:ser>
          <c:idx val="3"/>
          <c:order val="3"/>
          <c:tx>
            <c:strRef>
              <c:f>[1]工作表1!$E$2</c:f>
              <c:strCache>
                <c:ptCount val="1"/>
                <c:pt idx="0">
                  <c:v>RTF(近月)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[1]工作表1!$E$16:$E$30</c:f>
              <c:numCache>
                <c:formatCode>General</c:formatCode>
                <c:ptCount val="15"/>
                <c:pt idx="0">
                  <c:v>6.2266000000000004</c:v>
                </c:pt>
                <c:pt idx="1">
                  <c:v>6.2249999999999996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6.2328999999999999</c:v>
                </c:pt>
                <c:pt idx="5">
                  <c:v>6.2340999999999998</c:v>
                </c:pt>
                <c:pt idx="6">
                  <c:v>6.2260999999999997</c:v>
                </c:pt>
                <c:pt idx="7">
                  <c:v>6.2264999999999997</c:v>
                </c:pt>
                <c:pt idx="8">
                  <c:v>6.2272999999999996</c:v>
                </c:pt>
                <c:pt idx="9">
                  <c:v>6.2301000000000002</c:v>
                </c:pt>
                <c:pt idx="10">
                  <c:v>6.2249999999999996</c:v>
                </c:pt>
                <c:pt idx="11">
                  <c:v>6.2229000000000001</c:v>
                </c:pt>
                <c:pt idx="12">
                  <c:v>6.2240000000000002</c:v>
                </c:pt>
                <c:pt idx="13">
                  <c:v>6.2240000000000002</c:v>
                </c:pt>
                <c:pt idx="14">
                  <c:v>6.2232000000000003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A3-4F13-B9F2-06F192F1E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96120"/>
        <c:axId val="1"/>
      </c:lineChart>
      <c:catAx>
        <c:axId val="33099612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noMultiLvlLbl val="0"/>
      </c:catAx>
      <c:valAx>
        <c:axId val="1"/>
        <c:scaling>
          <c:orientation val="minMax"/>
          <c:max val="6.24"/>
          <c:min val="6.2050000000000001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#,##0.0000_);[Red]\(#,##0.0000\)" sourceLinked="0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330996120"/>
        <c:crosses val="autoZero"/>
        <c:crossBetween val="between"/>
        <c:majorUnit val="1.0000000000000005E-2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wMode val="edge"/>
          <c:hMode val="edge"/>
          <c:x val="7.3696362667310264E-2"/>
          <c:y val="3.773600880535094E-2"/>
          <c:w val="0.84127123956248762"/>
          <c:h val="0.14622639911946489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45"/>
          <c:y val="4.5936061271029713E-2"/>
          <c:w val="0.8163951373086078"/>
          <c:h val="0.803895271287826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08-42E5-BD8A-30E0EACDB660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08-42E5-BD8A-30E0EACDB660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08-42E5-BD8A-30E0EACDB660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08-42E5-BD8A-30E0EACDB660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08-42E5-BD8A-30E0EACDB660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8208-42E5-BD8A-30E0EACDB660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8208-42E5-BD8A-30E0EACDB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474560"/>
        <c:axId val="1"/>
      </c:barChart>
      <c:catAx>
        <c:axId val="33047456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30474560"/>
        <c:crosses val="autoZero"/>
        <c:crossBetween val="between"/>
        <c:majorUnit val="500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097748465193"/>
          <c:y val="6.4640087409888247E-2"/>
          <c:w val="0.2808572432719415"/>
          <c:h val="0.1564817519981948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2"/>
          <c:y val="4.5936061271029713E-2"/>
          <c:w val="0.8161373690181305"/>
          <c:h val="0.803895271287826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74-4386-AC82-CAE54191E53B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74-4386-AC82-CAE54191E53B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74-4386-AC82-CAE54191E53B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74-4386-AC82-CAE54191E53B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74-4386-AC82-CAE54191E53B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4074-4386-AC82-CAE54191E53B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4074-4386-AC82-CAE54191E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757168"/>
        <c:axId val="1"/>
      </c:barChart>
      <c:catAx>
        <c:axId val="33075716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3075716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1250267470231912"/>
          <c:y val="5.2562634216177531E-2"/>
          <c:w val="0.28085744413913072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6772-48D7-BCE1-F3ACDA93DB84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6772-48D7-BCE1-F3ACDA93DB84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6772-48D7-BCE1-F3ACDA93DB84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6772-48D7-BCE1-F3ACDA93DB84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Data!$D$5:$D$8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6772-48D7-BCE1-F3ACDA93D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7D00-4FB3-8C12-0594F03691B0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7D00-4FB3-8C12-0594F03691B0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7D00-4FB3-8C12-0594F03691B0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7D00-4FB3-8C12-0594F03691B0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7D00-4FB3-8C12-0594F0369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14B4-4D07-86DD-5715B84ACCE7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4B4-4D07-86DD-5715B84ACCE7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14B4-4D07-86DD-5715B84ACCE7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14B4-4D07-86DD-5715B84ACCE7}"/>
              </c:ext>
            </c:extLst>
          </c:dPt>
          <c:dLbls>
            <c:dLbl>
              <c:idx val="1"/>
              <c:layout>
                <c:manualLayout>
                  <c:x val="1.6186920858000321E-2"/>
                  <c:y val="-0.23039263933920023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B4-4D07-86DD-5715B84ACCE7}"/>
                </c:ext>
              </c:extLst>
            </c:dLbl>
            <c:dLbl>
              <c:idx val="2"/>
              <c:layout>
                <c:manualLayout>
                  <c:x val="-3.6449627063549397E-5"/>
                  <c:y val="1.4464644125366679E-2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B4-4D07-86DD-5715B84ACCE7}"/>
                </c:ext>
              </c:extLst>
            </c:dLbl>
            <c:dLbl>
              <c:idx val="3"/>
              <c:layout>
                <c:manualLayout>
                  <c:x val="-2.0352037668598202E-3"/>
                  <c:y val="0.32301798672224841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B4-4D07-86DD-5715B84ACC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Data!$E$5:$E$8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14B4-4D07-86DD-5715B84A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8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17DC-431E-91CC-7C0B00D614D9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7DC-431E-91CC-7C0B00D614D9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17DC-431E-91CC-7C0B00D614D9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17DC-431E-91CC-7C0B00D614D9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Data!$C$5:$C$8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17DC-431E-91CC-7C0B00D6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082"/>
          <c:h val="0.71357141458064344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USDJPY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4-423C-AFEE-82EF742EE15D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XJF(近月)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F4-423C-AFEE-82EF742E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994808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EURUSD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4-423C-AFEE-82EF742EE15D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XEF(近月)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F4-423C-AFEE-82EF742E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3099480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330994808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801426670981196"/>
          <c:y val="0.90341648133677954"/>
          <c:w val="0.81985733290188056"/>
          <c:h val="0.9898142693995312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33</xdr:col>
      <xdr:colOff>19050</xdr:colOff>
      <xdr:row>2</xdr:row>
      <xdr:rowOff>171450</xdr:rowOff>
    </xdr:to>
    <xdr:graphicFrame macro="">
      <xdr:nvGraphicFramePr>
        <xdr:cNvPr id="2067" name="圖表 2">
          <a:extLst>
            <a:ext uri="{FF2B5EF4-FFF2-40B4-BE49-F238E27FC236}">
              <a16:creationId xmlns:a16="http://schemas.microsoft.com/office/drawing/2014/main" id="{CF97208D-53E5-4261-AC3B-C428A32E3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261" name="圖片 1">
          <a:extLst>
            <a:ext uri="{FF2B5EF4-FFF2-40B4-BE49-F238E27FC236}">
              <a16:creationId xmlns:a16="http://schemas.microsoft.com/office/drawing/2014/main" id="{AC0BD0DD-772F-480A-BF65-2D6BE0825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262" name="圖表 5">
          <a:extLst>
            <a:ext uri="{FF2B5EF4-FFF2-40B4-BE49-F238E27FC236}">
              <a16:creationId xmlns:a16="http://schemas.microsoft.com/office/drawing/2014/main" id="{20CE4A57-6898-4392-A236-3BECD6757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263" name="圖表 6">
          <a:extLst>
            <a:ext uri="{FF2B5EF4-FFF2-40B4-BE49-F238E27FC236}">
              <a16:creationId xmlns:a16="http://schemas.microsoft.com/office/drawing/2014/main" id="{ABA6D1F6-52D1-4FCC-ACFC-D5B15C3A1F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264" name="圖表 7">
          <a:extLst>
            <a:ext uri="{FF2B5EF4-FFF2-40B4-BE49-F238E27FC236}">
              <a16:creationId xmlns:a16="http://schemas.microsoft.com/office/drawing/2014/main" id="{31F6A5E9-BDCA-4423-BEE8-F93971CA7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265" name="圖表 8">
          <a:extLst>
            <a:ext uri="{FF2B5EF4-FFF2-40B4-BE49-F238E27FC236}">
              <a16:creationId xmlns:a16="http://schemas.microsoft.com/office/drawing/2014/main" id="{970D6A8F-2C1D-4A01-9C13-207AAE881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266" name="圖表 9">
          <a:extLst>
            <a:ext uri="{FF2B5EF4-FFF2-40B4-BE49-F238E27FC236}">
              <a16:creationId xmlns:a16="http://schemas.microsoft.com/office/drawing/2014/main" id="{4B1144A1-D3D8-4F36-BBBF-05F6CF20F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267" name="圖表 10">
          <a:extLst>
            <a:ext uri="{FF2B5EF4-FFF2-40B4-BE49-F238E27FC236}">
              <a16:creationId xmlns:a16="http://schemas.microsoft.com/office/drawing/2014/main" id="{6B7DD120-CA77-4BCE-B01C-D9A00205C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62</xdr:row>
      <xdr:rowOff>9525</xdr:rowOff>
    </xdr:to>
    <xdr:graphicFrame macro="">
      <xdr:nvGraphicFramePr>
        <xdr:cNvPr id="4268" name="圖表 3">
          <a:extLst>
            <a:ext uri="{FF2B5EF4-FFF2-40B4-BE49-F238E27FC236}">
              <a16:creationId xmlns:a16="http://schemas.microsoft.com/office/drawing/2014/main" id="{841A5F7C-494A-4136-9D69-FAAFFC61B4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95250</xdr:colOff>
      <xdr:row>63</xdr:row>
      <xdr:rowOff>123825</xdr:rowOff>
    </xdr:from>
    <xdr:to>
      <xdr:col>10</xdr:col>
      <xdr:colOff>666750</xdr:colOff>
      <xdr:row>91</xdr:row>
      <xdr:rowOff>28575</xdr:rowOff>
    </xdr:to>
    <xdr:pic>
      <xdr:nvPicPr>
        <xdr:cNvPr id="4269" name="圖片 10">
          <a:extLst>
            <a:ext uri="{FF2B5EF4-FFF2-40B4-BE49-F238E27FC236}">
              <a16:creationId xmlns:a16="http://schemas.microsoft.com/office/drawing/2014/main" id="{FA8068A5-C623-42FF-AFBE-DFEDEAC8E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3258800"/>
          <a:ext cx="6915150" cy="5772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phfang/AppData/Local/Microsoft/Windows/Temporary%20Internet%20Files/Content.Outlook/J5FBCUPN/&#20154;&#27665;&#24163;&#21295;&#29575;&#26399;&#36008;&#23459;&#23566;&#25512;&#24291;&#35336;&#30059;/&#21295;&#29575;&#26399;&#36008;&#36913;&#22577;/&#22294;%20%20CNHCN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走勢圖"/>
      <sheetName val="Fixing"/>
      <sheetName val="工作表1"/>
    </sheetNames>
    <sheetDataSet>
      <sheetData sheetId="0"/>
      <sheetData sheetId="1"/>
      <sheetData sheetId="2">
        <row r="2">
          <cell r="B2" t="str">
            <v>CNH</v>
          </cell>
          <cell r="C2" t="str">
            <v>CNT</v>
          </cell>
          <cell r="D2" t="str">
            <v>RHF(近月)</v>
          </cell>
          <cell r="E2" t="str">
            <v>RTF(近月)</v>
          </cell>
        </row>
        <row r="16">
          <cell r="A16">
            <v>42205</v>
          </cell>
          <cell r="B16">
            <v>6.2140000000000004</v>
          </cell>
          <cell r="C16">
            <v>6.2138</v>
          </cell>
          <cell r="D16">
            <v>6.2271999999999998</v>
          </cell>
          <cell r="E16">
            <v>6.2266000000000004</v>
          </cell>
        </row>
        <row r="17">
          <cell r="A17">
            <v>42206</v>
          </cell>
          <cell r="B17">
            <v>6.2091000000000003</v>
          </cell>
          <cell r="C17">
            <v>6.2135999999999996</v>
          </cell>
          <cell r="D17">
            <v>6.2252999999999998</v>
          </cell>
          <cell r="E17">
            <v>6.2249999999999996</v>
          </cell>
        </row>
        <row r="18">
          <cell r="A18">
            <v>42207</v>
          </cell>
          <cell r="B18">
            <v>6.2118000000000002</v>
          </cell>
          <cell r="C18">
            <v>6.2103999999999999</v>
          </cell>
          <cell r="D18">
            <v>6.2233000000000001</v>
          </cell>
          <cell r="E18">
            <v>6.2233000000000001</v>
          </cell>
        </row>
        <row r="19">
          <cell r="A19">
            <v>42208</v>
          </cell>
          <cell r="B19">
            <v>6.2137000000000002</v>
          </cell>
          <cell r="C19">
            <v>6.2140000000000004</v>
          </cell>
          <cell r="D19">
            <v>6.2256</v>
          </cell>
          <cell r="E19">
            <v>6.2256</v>
          </cell>
        </row>
        <row r="20">
          <cell r="A20">
            <v>42209</v>
          </cell>
          <cell r="B20">
            <v>6.2214999999999998</v>
          </cell>
          <cell r="C20">
            <v>6.2214999999999998</v>
          </cell>
          <cell r="D20">
            <v>6.2332999999999998</v>
          </cell>
          <cell r="E20">
            <v>6.2328999999999999</v>
          </cell>
        </row>
        <row r="21">
          <cell r="A21">
            <v>42212</v>
          </cell>
          <cell r="B21">
            <v>6.2203999999999997</v>
          </cell>
          <cell r="C21">
            <v>6.2201000000000004</v>
          </cell>
          <cell r="D21">
            <v>6.2343000000000002</v>
          </cell>
          <cell r="E21">
            <v>6.2340999999999998</v>
          </cell>
        </row>
        <row r="22">
          <cell r="A22">
            <v>42213</v>
          </cell>
          <cell r="B22">
            <v>6.2173999999999996</v>
          </cell>
          <cell r="C22">
            <v>6.2173999999999996</v>
          </cell>
          <cell r="D22">
            <v>6.2270000000000003</v>
          </cell>
          <cell r="E22">
            <v>6.2260999999999997</v>
          </cell>
        </row>
        <row r="23">
          <cell r="A23">
            <v>42214</v>
          </cell>
          <cell r="B23">
            <v>6.2153</v>
          </cell>
          <cell r="C23">
            <v>6.2153</v>
          </cell>
          <cell r="D23">
            <v>6.2266000000000004</v>
          </cell>
          <cell r="E23">
            <v>6.2264999999999997</v>
          </cell>
        </row>
        <row r="24">
          <cell r="A24">
            <v>42215</v>
          </cell>
          <cell r="B24">
            <v>6.2196999999999996</v>
          </cell>
          <cell r="C24">
            <v>6.2195</v>
          </cell>
          <cell r="D24">
            <v>6.2268999999999997</v>
          </cell>
          <cell r="E24">
            <v>6.2272999999999996</v>
          </cell>
        </row>
        <row r="25">
          <cell r="A25">
            <v>42216</v>
          </cell>
          <cell r="B25">
            <v>6.22</v>
          </cell>
          <cell r="C25">
            <v>6.2198000000000002</v>
          </cell>
          <cell r="D25">
            <v>6.2305000000000001</v>
          </cell>
          <cell r="E25">
            <v>6.2301000000000002</v>
          </cell>
        </row>
        <row r="26">
          <cell r="A26">
            <v>42219</v>
          </cell>
          <cell r="B26">
            <v>6.2194000000000003</v>
          </cell>
          <cell r="C26">
            <v>6.2194000000000003</v>
          </cell>
          <cell r="D26">
            <v>6.2244999999999999</v>
          </cell>
          <cell r="E26">
            <v>6.2249999999999996</v>
          </cell>
        </row>
        <row r="27">
          <cell r="A27">
            <v>42220</v>
          </cell>
          <cell r="B27">
            <v>6.2173999999999996</v>
          </cell>
          <cell r="C27">
            <v>6.2172999999999998</v>
          </cell>
          <cell r="D27">
            <v>6.2229999999999999</v>
          </cell>
          <cell r="E27">
            <v>6.2229000000000001</v>
          </cell>
        </row>
        <row r="28">
          <cell r="A28">
            <v>42221</v>
          </cell>
          <cell r="B28">
            <v>6.2196999999999996</v>
          </cell>
          <cell r="C28">
            <v>6.2196999999999996</v>
          </cell>
          <cell r="D28">
            <v>6.2245999999999997</v>
          </cell>
          <cell r="E28">
            <v>6.2240000000000002</v>
          </cell>
        </row>
        <row r="29">
          <cell r="A29">
            <v>42222</v>
          </cell>
          <cell r="B29">
            <v>6.2187000000000001</v>
          </cell>
          <cell r="C29">
            <v>6.2186000000000003</v>
          </cell>
          <cell r="D29">
            <v>6.2237999999999998</v>
          </cell>
          <cell r="E29">
            <v>6.2240000000000002</v>
          </cell>
        </row>
        <row r="30">
          <cell r="A30">
            <v>42223</v>
          </cell>
          <cell r="B30">
            <v>6.2178000000000004</v>
          </cell>
          <cell r="C30">
            <v>6.2176999999999998</v>
          </cell>
          <cell r="D30">
            <v>6.2229999999999999</v>
          </cell>
          <cell r="E30">
            <v>6.2232000000000003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6"/>
  <sheetViews>
    <sheetView zoomScale="80" zoomScaleNormal="80" workbookViewId="0">
      <selection activeCell="C23" sqref="C23"/>
    </sheetView>
  </sheetViews>
  <sheetFormatPr defaultColWidth="8.875" defaultRowHeight="16.5"/>
  <cols>
    <col min="1" max="1" width="19.75" style="1" customWidth="1"/>
    <col min="2" max="5" width="13.125" style="1" customWidth="1"/>
    <col min="6" max="6" width="12.875" style="1" bestFit="1" customWidth="1"/>
    <col min="7" max="7" width="23.625" style="1" bestFit="1" customWidth="1"/>
    <col min="8" max="8" width="14.75" style="1" bestFit="1" customWidth="1"/>
    <col min="9" max="16384" width="8.875" style="1"/>
  </cols>
  <sheetData>
    <row r="1" spans="1:9" s="6" customFormat="1">
      <c r="A1" s="54" t="s">
        <v>19</v>
      </c>
      <c r="B1" s="35">
        <f>MIN(A13:A18)</f>
        <v>0</v>
      </c>
      <c r="C1" s="35">
        <f>MAX(A13:A18)</f>
        <v>0</v>
      </c>
    </row>
    <row r="2" spans="1:9" s="6" customFormat="1"/>
    <row r="3" spans="1:9" s="48" customFormat="1">
      <c r="A3" s="41"/>
      <c r="B3" s="41" t="s">
        <v>8</v>
      </c>
      <c r="C3" s="41"/>
      <c r="D3" s="41" t="s">
        <v>9</v>
      </c>
      <c r="E3" s="41"/>
    </row>
    <row r="4" spans="1:9">
      <c r="A4" s="55" t="s">
        <v>20</v>
      </c>
      <c r="B4" s="42" t="s">
        <v>2</v>
      </c>
      <c r="C4" s="41" t="s">
        <v>3</v>
      </c>
      <c r="D4" s="42" t="s">
        <v>2</v>
      </c>
      <c r="E4" s="41" t="s">
        <v>18</v>
      </c>
      <c r="G4" s="2"/>
      <c r="I4" s="48"/>
    </row>
    <row r="5" spans="1:9">
      <c r="A5" s="51" t="s">
        <v>14</v>
      </c>
      <c r="B5" s="49"/>
      <c r="C5" s="49"/>
      <c r="D5" s="50"/>
      <c r="E5" s="50"/>
      <c r="G5" s="2"/>
      <c r="I5" s="48"/>
    </row>
    <row r="6" spans="1:9">
      <c r="A6" s="51" t="s">
        <v>15</v>
      </c>
      <c r="B6" s="49"/>
      <c r="C6" s="49"/>
      <c r="D6" s="50"/>
      <c r="E6" s="50"/>
      <c r="G6" s="2"/>
    </row>
    <row r="7" spans="1:9">
      <c r="A7" s="51" t="s">
        <v>16</v>
      </c>
      <c r="B7" s="49"/>
      <c r="C7" s="49"/>
      <c r="D7" s="50"/>
      <c r="E7" s="50"/>
      <c r="G7" s="48"/>
    </row>
    <row r="8" spans="1:9">
      <c r="A8" s="51" t="s">
        <v>17</v>
      </c>
      <c r="B8" s="49"/>
      <c r="C8" s="49"/>
      <c r="D8" s="50"/>
      <c r="E8" s="50"/>
      <c r="G8" s="48"/>
      <c r="I8" s="48"/>
    </row>
    <row r="9" spans="1:9">
      <c r="A9" s="43"/>
      <c r="B9" s="3"/>
      <c r="C9" s="3"/>
      <c r="D9" s="4"/>
      <c r="G9" s="48"/>
      <c r="I9" s="48"/>
    </row>
    <row r="10" spans="1:9">
      <c r="A10" s="43"/>
      <c r="B10" s="3"/>
      <c r="C10" s="3"/>
      <c r="D10" s="4"/>
    </row>
    <row r="11" spans="1:9">
      <c r="A11" s="41"/>
      <c r="B11" s="41" t="s">
        <v>8</v>
      </c>
      <c r="C11" s="41"/>
      <c r="D11" s="41" t="s">
        <v>9</v>
      </c>
      <c r="E11" s="41"/>
    </row>
    <row r="12" spans="1:9">
      <c r="A12" s="41" t="s">
        <v>1</v>
      </c>
      <c r="B12" s="42" t="s">
        <v>2</v>
      </c>
      <c r="C12" s="41" t="s">
        <v>3</v>
      </c>
      <c r="D12" s="42" t="s">
        <v>2</v>
      </c>
      <c r="E12" s="41" t="s">
        <v>18</v>
      </c>
    </row>
    <row r="13" spans="1:9">
      <c r="A13" s="56"/>
      <c r="B13" s="49"/>
      <c r="C13" s="49"/>
      <c r="D13" s="50"/>
      <c r="E13" s="50"/>
    </row>
    <row r="14" spans="1:9">
      <c r="A14" s="56"/>
      <c r="B14" s="49"/>
      <c r="C14" s="49"/>
      <c r="D14" s="50"/>
      <c r="E14" s="50"/>
    </row>
    <row r="15" spans="1:9">
      <c r="A15" s="56"/>
      <c r="B15" s="49"/>
      <c r="C15" s="49"/>
      <c r="D15" s="50"/>
      <c r="E15" s="50"/>
    </row>
    <row r="16" spans="1:9">
      <c r="A16" s="56"/>
      <c r="B16" s="49"/>
      <c r="C16" s="49"/>
      <c r="D16" s="50"/>
      <c r="E16" s="50"/>
    </row>
    <row r="17" spans="1:5">
      <c r="A17" s="56"/>
      <c r="B17" s="49"/>
      <c r="C17" s="49"/>
      <c r="D17" s="50"/>
      <c r="E17" s="50"/>
    </row>
    <row r="18" spans="1:5">
      <c r="A18" s="2"/>
      <c r="B18" s="3"/>
      <c r="C18" s="3"/>
    </row>
    <row r="19" spans="1:5">
      <c r="A19" s="2"/>
      <c r="B19" s="3"/>
      <c r="C19" s="3"/>
    </row>
    <row r="20" spans="1:5" s="48" customFormat="1">
      <c r="A20" s="41"/>
      <c r="B20" s="41" t="s">
        <v>8</v>
      </c>
      <c r="C20" s="41"/>
      <c r="D20" s="41" t="s">
        <v>9</v>
      </c>
      <c r="E20" s="41"/>
    </row>
    <row r="21" spans="1:5" s="48" customFormat="1">
      <c r="A21" s="41" t="s">
        <v>21</v>
      </c>
      <c r="B21" s="41" t="s">
        <v>22</v>
      </c>
      <c r="C21" s="41" t="s">
        <v>23</v>
      </c>
      <c r="D21" s="41" t="s">
        <v>22</v>
      </c>
      <c r="E21" s="41" t="s">
        <v>23</v>
      </c>
    </row>
    <row r="22" spans="1:5">
      <c r="A22" s="58" t="str">
        <f>YEAR(B1)&amp;"/"&amp;MONTH(B1)&amp;"/"&amp;"/"&amp;DAY(B1)&amp;"~"&amp;YEAR(C1)&amp;"/"&amp;MONTH(C1)&amp;"/"&amp;DAY(C1)</f>
        <v>1900/1//0~1900/1/0</v>
      </c>
      <c r="B22" s="48" t="e">
        <f>ROUND(AVERAGE(B13:B18),0)</f>
        <v>#DIV/0!</v>
      </c>
      <c r="C22" s="48" t="e">
        <f>VLOOKUP($C$1,$A$13:$E$18,3,FALSE)</f>
        <v>#N/A</v>
      </c>
      <c r="D22" s="48" t="e">
        <f>ROUND(AVERAGE(D13:D18),0)</f>
        <v>#DIV/0!</v>
      </c>
      <c r="E22" s="48" t="e">
        <f>VLOOKUP($C$1,$A$13:$E$18,5,FALSE)</f>
        <v>#N/A</v>
      </c>
    </row>
    <row r="23" spans="1:5" ht="33">
      <c r="A23" s="57" t="s">
        <v>26</v>
      </c>
      <c r="B23" s="53"/>
    </row>
    <row r="24" spans="1:5" ht="33">
      <c r="A24" s="57" t="s">
        <v>27</v>
      </c>
      <c r="B24" s="48">
        <f>ROUND(B23/100000000,2)</f>
        <v>0</v>
      </c>
    </row>
    <row r="25" spans="1:5" ht="33">
      <c r="A25" s="57" t="s">
        <v>24</v>
      </c>
      <c r="C25" s="3"/>
      <c r="D25" s="52"/>
    </row>
    <row r="26" spans="1:5" ht="33">
      <c r="A26" s="57" t="s">
        <v>25</v>
      </c>
      <c r="C26" s="3"/>
      <c r="D26" s="48">
        <f>ROUND(D25/100000000,2)</f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9"/>
  <sheetViews>
    <sheetView zoomScaleNormal="100" workbookViewId="0">
      <pane ySplit="1" topLeftCell="A2" activePane="bottomLeft" state="frozen"/>
      <selection pane="bottomLeft" activeCell="H6" sqref="H6"/>
    </sheetView>
  </sheetViews>
  <sheetFormatPr defaultColWidth="8.875" defaultRowHeight="16.5"/>
  <cols>
    <col min="1" max="1" width="12.125" style="8" customWidth="1"/>
    <col min="2" max="2" width="8.875" style="9"/>
    <col min="3" max="3" width="14.375" style="9" customWidth="1"/>
    <col min="4" max="4" width="13.875" style="9" bestFit="1" customWidth="1"/>
    <col min="5" max="6" width="13.875" style="9" customWidth="1"/>
    <col min="7" max="7" width="15.125" style="9" customWidth="1"/>
    <col min="8" max="8" width="17.625" style="9" customWidth="1"/>
    <col min="9" max="10" width="0" style="9" hidden="1" customWidth="1"/>
    <col min="11" max="16384" width="8.875" style="9"/>
  </cols>
  <sheetData>
    <row r="1" spans="1:11">
      <c r="B1" s="9" t="s">
        <v>28</v>
      </c>
      <c r="C1" s="9" t="s">
        <v>12</v>
      </c>
      <c r="D1" s="9" t="s">
        <v>11</v>
      </c>
      <c r="E1" s="59" t="s">
        <v>10</v>
      </c>
      <c r="K1" s="59"/>
    </row>
    <row r="2" spans="1:11">
      <c r="A2" s="10">
        <v>42699</v>
      </c>
      <c r="B2" s="9">
        <v>0</v>
      </c>
      <c r="C2" s="9">
        <v>0</v>
      </c>
      <c r="D2" s="9">
        <v>0</v>
      </c>
      <c r="E2" s="9">
        <v>0</v>
      </c>
    </row>
    <row r="3" spans="1:11">
      <c r="A3" s="10">
        <v>42702</v>
      </c>
      <c r="B3" s="9">
        <v>0</v>
      </c>
      <c r="C3" s="9">
        <v>0</v>
      </c>
      <c r="D3" s="9">
        <v>0</v>
      </c>
      <c r="E3" s="9">
        <v>0</v>
      </c>
    </row>
    <row r="4" spans="1:11">
      <c r="A4" s="10">
        <v>42703</v>
      </c>
      <c r="B4" s="9">
        <v>0</v>
      </c>
      <c r="C4" s="9">
        <v>0</v>
      </c>
      <c r="D4" s="9">
        <v>0</v>
      </c>
      <c r="E4" s="9">
        <v>0</v>
      </c>
    </row>
    <row r="5" spans="1:11">
      <c r="A5" s="10">
        <v>42704</v>
      </c>
      <c r="B5" s="9">
        <v>0</v>
      </c>
      <c r="C5" s="9">
        <v>0</v>
      </c>
      <c r="D5" s="9">
        <v>0</v>
      </c>
      <c r="E5" s="9">
        <v>0</v>
      </c>
    </row>
    <row r="6" spans="1:11">
      <c r="A6" s="10">
        <v>42705</v>
      </c>
      <c r="B6" s="9">
        <v>0</v>
      </c>
      <c r="C6" s="9">
        <v>0</v>
      </c>
      <c r="D6" s="9">
        <v>0</v>
      </c>
      <c r="E6" s="9">
        <v>0</v>
      </c>
    </row>
    <row r="7" spans="1:11">
      <c r="A7" s="10">
        <v>42706</v>
      </c>
      <c r="B7" s="9">
        <v>0</v>
      </c>
      <c r="C7" s="9">
        <v>0</v>
      </c>
      <c r="D7" s="9">
        <v>0</v>
      </c>
      <c r="E7" s="9">
        <v>0</v>
      </c>
    </row>
    <row r="8" spans="1:11">
      <c r="A8" s="10">
        <v>42709</v>
      </c>
      <c r="B8" s="9">
        <v>0</v>
      </c>
      <c r="C8" s="9">
        <v>0</v>
      </c>
      <c r="D8" s="9">
        <v>0</v>
      </c>
      <c r="E8" s="9">
        <v>0</v>
      </c>
    </row>
    <row r="9" spans="1:11">
      <c r="A9" s="10">
        <v>42710</v>
      </c>
      <c r="B9" s="9">
        <v>0</v>
      </c>
      <c r="C9" s="9">
        <v>0</v>
      </c>
      <c r="D9" s="9">
        <v>0</v>
      </c>
      <c r="E9" s="9">
        <v>0</v>
      </c>
    </row>
    <row r="10" spans="1:11">
      <c r="A10" s="10">
        <v>42711</v>
      </c>
      <c r="B10" s="9">
        <v>0</v>
      </c>
      <c r="C10" s="9">
        <v>0</v>
      </c>
      <c r="D10" s="9">
        <v>0</v>
      </c>
      <c r="E10" s="9">
        <v>0</v>
      </c>
      <c r="G10" s="6"/>
    </row>
    <row r="11" spans="1:11">
      <c r="A11" s="10">
        <v>42712</v>
      </c>
      <c r="B11" s="9">
        <v>0</v>
      </c>
      <c r="C11" s="9">
        <v>0</v>
      </c>
      <c r="D11" s="9">
        <v>0</v>
      </c>
      <c r="E11" s="9">
        <v>0</v>
      </c>
    </row>
    <row r="12" spans="1:11">
      <c r="A12" s="10">
        <v>42713</v>
      </c>
      <c r="B12" s="9">
        <v>0</v>
      </c>
      <c r="C12" s="9">
        <v>0</v>
      </c>
      <c r="D12" s="9">
        <v>0</v>
      </c>
      <c r="E12" s="9">
        <v>0</v>
      </c>
    </row>
    <row r="13" spans="1:11">
      <c r="A13" s="10">
        <v>42716</v>
      </c>
      <c r="B13" s="9">
        <v>0</v>
      </c>
      <c r="C13" s="9">
        <v>0</v>
      </c>
      <c r="D13" s="9">
        <v>0</v>
      </c>
      <c r="E13" s="9">
        <v>0</v>
      </c>
    </row>
    <row r="14" spans="1:11">
      <c r="A14" s="10">
        <v>42717</v>
      </c>
      <c r="B14" s="9">
        <v>0</v>
      </c>
      <c r="C14" s="9">
        <v>0</v>
      </c>
      <c r="D14" s="9">
        <v>0</v>
      </c>
      <c r="E14" s="9">
        <v>0</v>
      </c>
    </row>
    <row r="15" spans="1:11">
      <c r="A15" s="10">
        <v>42718</v>
      </c>
      <c r="B15" s="9">
        <v>0</v>
      </c>
      <c r="C15" s="9">
        <v>0</v>
      </c>
      <c r="D15" s="9">
        <v>0</v>
      </c>
      <c r="E15" s="9">
        <v>0</v>
      </c>
    </row>
    <row r="16" spans="1:11">
      <c r="A16" s="10">
        <v>42719</v>
      </c>
      <c r="B16" s="9">
        <v>0</v>
      </c>
      <c r="C16" s="9">
        <v>0</v>
      </c>
      <c r="D16" s="9">
        <v>0</v>
      </c>
      <c r="E16" s="9">
        <v>0</v>
      </c>
    </row>
    <row r="17" spans="1:5">
      <c r="A17" s="10">
        <v>42720</v>
      </c>
      <c r="B17" s="9">
        <v>0</v>
      </c>
      <c r="C17" s="9">
        <v>0</v>
      </c>
      <c r="D17" s="9">
        <v>0</v>
      </c>
      <c r="E17" s="9">
        <v>0</v>
      </c>
    </row>
    <row r="18" spans="1:5">
      <c r="A18" s="10">
        <v>42723</v>
      </c>
      <c r="B18" s="9">
        <v>0</v>
      </c>
      <c r="C18" s="9">
        <v>0</v>
      </c>
      <c r="D18" s="9">
        <v>0</v>
      </c>
      <c r="E18" s="9">
        <v>0</v>
      </c>
    </row>
    <row r="19" spans="1:5">
      <c r="A19" s="10">
        <v>42724</v>
      </c>
      <c r="B19" s="9">
        <v>0</v>
      </c>
      <c r="C19" s="9">
        <v>0</v>
      </c>
      <c r="D19" s="9">
        <v>0</v>
      </c>
      <c r="E19" s="9">
        <v>0</v>
      </c>
    </row>
    <row r="20" spans="1:5">
      <c r="A20" s="10">
        <v>42725</v>
      </c>
      <c r="B20" s="9">
        <v>0</v>
      </c>
      <c r="C20" s="9">
        <v>0</v>
      </c>
      <c r="D20" s="9">
        <v>0</v>
      </c>
      <c r="E20" s="9">
        <v>0</v>
      </c>
    </row>
    <row r="21" spans="1:5">
      <c r="A21" s="10">
        <v>42726</v>
      </c>
      <c r="B21" s="9">
        <v>0</v>
      </c>
      <c r="C21" s="9">
        <v>0</v>
      </c>
      <c r="D21" s="9">
        <v>0</v>
      </c>
      <c r="E21" s="9">
        <v>0</v>
      </c>
    </row>
    <row r="22" spans="1:5">
      <c r="A22" s="10">
        <v>42727</v>
      </c>
      <c r="B22" s="9">
        <v>0</v>
      </c>
      <c r="C22" s="9">
        <v>0</v>
      </c>
      <c r="D22" s="9">
        <v>0</v>
      </c>
      <c r="E22" s="9">
        <v>0</v>
      </c>
    </row>
    <row r="23" spans="1:5">
      <c r="A23" s="10">
        <v>42730</v>
      </c>
      <c r="B23" s="9">
        <v>0</v>
      </c>
      <c r="C23" s="9">
        <v>0</v>
      </c>
      <c r="D23" s="9">
        <v>0</v>
      </c>
      <c r="E23" s="9">
        <v>0</v>
      </c>
    </row>
    <row r="24" spans="1:5">
      <c r="A24" s="10">
        <v>42731</v>
      </c>
      <c r="B24" s="9">
        <v>0</v>
      </c>
      <c r="C24" s="9">
        <v>0</v>
      </c>
      <c r="D24" s="9">
        <v>0</v>
      </c>
      <c r="E24" s="9">
        <v>0</v>
      </c>
    </row>
    <row r="25" spans="1:5">
      <c r="A25" s="10">
        <v>42732</v>
      </c>
      <c r="B25" s="9">
        <v>0</v>
      </c>
      <c r="C25" s="9">
        <v>0</v>
      </c>
      <c r="D25" s="9">
        <v>0</v>
      </c>
      <c r="E25" s="9">
        <v>0</v>
      </c>
    </row>
    <row r="26" spans="1:5">
      <c r="A26" s="10">
        <v>42733</v>
      </c>
      <c r="B26" s="9">
        <v>0</v>
      </c>
      <c r="C26" s="9">
        <v>0</v>
      </c>
      <c r="D26" s="9">
        <v>0</v>
      </c>
      <c r="E26" s="9">
        <v>0</v>
      </c>
    </row>
    <row r="27" spans="1:5">
      <c r="A27" s="10">
        <v>42734</v>
      </c>
      <c r="B27" s="9">
        <v>0</v>
      </c>
      <c r="C27" s="9">
        <v>0</v>
      </c>
      <c r="D27" s="9">
        <v>0</v>
      </c>
      <c r="E27" s="9">
        <v>0</v>
      </c>
    </row>
    <row r="28" spans="1:5">
      <c r="A28" s="10">
        <v>42738</v>
      </c>
      <c r="B28" s="9">
        <v>0</v>
      </c>
      <c r="C28" s="9">
        <v>0</v>
      </c>
      <c r="D28" s="9">
        <v>0</v>
      </c>
      <c r="E28" s="9">
        <v>0</v>
      </c>
    </row>
    <row r="29" spans="1:5">
      <c r="A29" s="10">
        <v>42739</v>
      </c>
      <c r="B29" s="9">
        <v>0</v>
      </c>
      <c r="C29" s="9">
        <v>0</v>
      </c>
      <c r="D29" s="9">
        <v>0</v>
      </c>
      <c r="E29" s="9">
        <v>0</v>
      </c>
    </row>
    <row r="30" spans="1:5">
      <c r="A30" s="10">
        <v>42740</v>
      </c>
      <c r="B30" s="9">
        <v>0</v>
      </c>
      <c r="C30" s="9">
        <v>0</v>
      </c>
      <c r="D30" s="9">
        <v>0</v>
      </c>
      <c r="E30" s="9">
        <v>0</v>
      </c>
    </row>
    <row r="31" spans="1:5">
      <c r="A31" s="10">
        <v>42741</v>
      </c>
      <c r="B31" s="9">
        <v>0</v>
      </c>
      <c r="C31" s="9">
        <v>0</v>
      </c>
      <c r="D31" s="9">
        <v>0</v>
      </c>
      <c r="E31" s="9">
        <v>0</v>
      </c>
    </row>
    <row r="32" spans="1:5">
      <c r="A32" s="10"/>
    </row>
    <row r="33" spans="1:1">
      <c r="A33" s="10"/>
    </row>
    <row r="34" spans="1:1">
      <c r="A34" s="11"/>
    </row>
    <row r="35" spans="1:1">
      <c r="A35" s="11"/>
    </row>
    <row r="36" spans="1:1">
      <c r="A36" s="11"/>
    </row>
    <row r="37" spans="1:1">
      <c r="A37" s="11"/>
    </row>
    <row r="38" spans="1:1">
      <c r="A38" s="11"/>
    </row>
    <row r="39" spans="1:1">
      <c r="A39" s="11"/>
    </row>
    <row r="40" spans="1:1">
      <c r="A40" s="11"/>
    </row>
    <row r="41" spans="1:1">
      <c r="A41" s="11"/>
    </row>
    <row r="42" spans="1:1">
      <c r="A42" s="11"/>
    </row>
    <row r="43" spans="1:1">
      <c r="A43" s="11"/>
    </row>
    <row r="44" spans="1:1">
      <c r="A44" s="11"/>
    </row>
    <row r="45" spans="1:1">
      <c r="A45" s="11"/>
    </row>
    <row r="46" spans="1:1">
      <c r="A46" s="11"/>
    </row>
    <row r="47" spans="1:1">
      <c r="A47" s="11"/>
    </row>
    <row r="48" spans="1:1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2">
      <c r="A113" s="12"/>
    </row>
    <row r="114" spans="1:2">
      <c r="A114" s="12"/>
    </row>
    <row r="115" spans="1:2">
      <c r="A115" s="12"/>
    </row>
    <row r="116" spans="1:2">
      <c r="A116" s="12"/>
    </row>
    <row r="117" spans="1:2">
      <c r="A117" s="12"/>
    </row>
    <row r="118" spans="1:2">
      <c r="A118" s="12"/>
    </row>
    <row r="119" spans="1:2">
      <c r="A119" s="12"/>
    </row>
    <row r="120" spans="1:2">
      <c r="A120" s="12"/>
    </row>
    <row r="121" spans="1:2">
      <c r="A121" s="12"/>
    </row>
    <row r="122" spans="1:2">
      <c r="A122" s="12"/>
    </row>
    <row r="123" spans="1:2">
      <c r="A123" s="12"/>
    </row>
    <row r="124" spans="1:2">
      <c r="A124" s="12"/>
    </row>
    <row r="125" spans="1:2">
      <c r="A125" s="12"/>
    </row>
    <row r="126" spans="1:2">
      <c r="A126" s="12"/>
      <c r="B126" s="13"/>
    </row>
    <row r="127" spans="1:2">
      <c r="A127" s="12"/>
      <c r="B127" s="13"/>
    </row>
    <row r="128" spans="1:2">
      <c r="A128" s="12"/>
      <c r="B128" s="13"/>
    </row>
    <row r="129" spans="1:3">
      <c r="A129" s="12"/>
      <c r="B129" s="13"/>
    </row>
    <row r="130" spans="1:3">
      <c r="A130" s="12"/>
    </row>
    <row r="131" spans="1:3">
      <c r="A131" s="12"/>
    </row>
    <row r="132" spans="1:3">
      <c r="A132" s="12"/>
    </row>
    <row r="133" spans="1:3">
      <c r="A133" s="12"/>
    </row>
    <row r="134" spans="1:3">
      <c r="A134" s="12"/>
    </row>
    <row r="135" spans="1:3">
      <c r="A135" s="12"/>
    </row>
    <row r="136" spans="1:3">
      <c r="A136" s="12"/>
      <c r="C136" s="13"/>
    </row>
    <row r="137" spans="1:3">
      <c r="A137" s="12"/>
      <c r="C137" s="13"/>
    </row>
    <row r="138" spans="1:3">
      <c r="A138" s="12"/>
      <c r="C138" s="13"/>
    </row>
    <row r="139" spans="1:3">
      <c r="A139" s="12"/>
      <c r="C139" s="13"/>
    </row>
    <row r="140" spans="1:3">
      <c r="A140" s="12"/>
    </row>
    <row r="141" spans="1:3">
      <c r="A141" s="12"/>
    </row>
    <row r="142" spans="1:3">
      <c r="A142" s="12"/>
    </row>
    <row r="143" spans="1:3">
      <c r="A143" s="12"/>
    </row>
    <row r="144" spans="1:3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46"/>
    </row>
    <row r="198" spans="1:1">
      <c r="A198" s="46"/>
    </row>
    <row r="199" spans="1:1">
      <c r="A199" s="46"/>
    </row>
    <row r="200" spans="1:1">
      <c r="A200" s="46"/>
    </row>
    <row r="201" spans="1:1">
      <c r="A201" s="46"/>
    </row>
    <row r="202" spans="1:1">
      <c r="A202" s="46"/>
    </row>
    <row r="203" spans="1:1">
      <c r="A203" s="46"/>
    </row>
    <row r="204" spans="1:1">
      <c r="A204" s="46"/>
    </row>
    <row r="205" spans="1:1">
      <c r="A205" s="46"/>
    </row>
    <row r="206" spans="1:1">
      <c r="A206" s="46"/>
    </row>
    <row r="207" spans="1:1">
      <c r="A207" s="46"/>
    </row>
    <row r="208" spans="1:1">
      <c r="A208" s="46"/>
    </row>
    <row r="209" spans="1:1">
      <c r="A209" s="46"/>
    </row>
    <row r="210" spans="1:1">
      <c r="A210" s="46"/>
    </row>
    <row r="211" spans="1:1">
      <c r="A211" s="46"/>
    </row>
    <row r="212" spans="1:1">
      <c r="A212" s="46"/>
    </row>
    <row r="213" spans="1:1">
      <c r="A213" s="46"/>
    </row>
    <row r="214" spans="1:1">
      <c r="A214" s="46"/>
    </row>
    <row r="215" spans="1:1">
      <c r="A215" s="46"/>
    </row>
    <row r="216" spans="1:1">
      <c r="A216" s="46"/>
    </row>
    <row r="217" spans="1:1">
      <c r="A217" s="46"/>
    </row>
    <row r="218" spans="1:1">
      <c r="A218" s="46"/>
    </row>
    <row r="219" spans="1:1">
      <c r="A219" s="46"/>
    </row>
    <row r="220" spans="1:1">
      <c r="A220" s="46"/>
    </row>
    <row r="221" spans="1:1">
      <c r="A221" s="46"/>
    </row>
    <row r="222" spans="1:1">
      <c r="A222" s="46"/>
    </row>
    <row r="223" spans="1:1">
      <c r="A223" s="46"/>
    </row>
    <row r="224" spans="1:1">
      <c r="A224" s="46"/>
    </row>
    <row r="225" spans="1:1">
      <c r="A225" s="46"/>
    </row>
    <row r="226" spans="1:1">
      <c r="A226" s="46"/>
    </row>
    <row r="227" spans="1:1">
      <c r="A227" s="46"/>
    </row>
    <row r="228" spans="1:1">
      <c r="A228" s="46"/>
    </row>
    <row r="229" spans="1:1">
      <c r="A229" s="46"/>
    </row>
    <row r="230" spans="1:1">
      <c r="A230" s="46"/>
    </row>
    <row r="231" spans="1:1">
      <c r="A231" s="46"/>
    </row>
    <row r="232" spans="1:1">
      <c r="A232" s="46"/>
    </row>
    <row r="233" spans="1:1">
      <c r="A233" s="46"/>
    </row>
    <row r="234" spans="1:1">
      <c r="A234" s="46"/>
    </row>
    <row r="235" spans="1:1">
      <c r="A235" s="46"/>
    </row>
    <row r="236" spans="1:1">
      <c r="A236" s="46"/>
    </row>
    <row r="237" spans="1:1">
      <c r="A237" s="46"/>
    </row>
    <row r="238" spans="1:1">
      <c r="A238" s="46"/>
    </row>
    <row r="239" spans="1:1">
      <c r="A239" s="4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96"/>
  <sheetViews>
    <sheetView tabSelected="1" view="pageBreakPreview" topLeftCell="A9" zoomScaleNormal="100" zoomScaleSheetLayoutView="100" workbookViewId="0">
      <selection activeCell="M82" sqref="M82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6.75" customWidth="1"/>
    <col min="11" max="11" width="11" customWidth="1"/>
    <col min="12" max="12" width="8.875" customWidth="1"/>
    <col min="13" max="13" width="26.25" customWidth="1"/>
    <col min="14" max="15" width="9.625" bestFit="1" customWidth="1"/>
  </cols>
  <sheetData>
    <row r="1" spans="1:19">
      <c r="A1" s="15"/>
      <c r="B1" s="15"/>
      <c r="C1" s="15"/>
      <c r="D1" s="15"/>
      <c r="E1" s="15"/>
      <c r="F1" s="15"/>
      <c r="G1" s="15"/>
      <c r="H1" s="15"/>
      <c r="I1" s="15"/>
      <c r="J1" s="15"/>
    </row>
    <row r="2" spans="1:19">
      <c r="A2" s="15"/>
      <c r="B2" s="15"/>
      <c r="C2" s="15"/>
      <c r="D2" s="15"/>
      <c r="E2" s="15"/>
      <c r="F2" s="15"/>
      <c r="G2" s="15"/>
      <c r="H2" s="15"/>
      <c r="I2" s="15"/>
      <c r="J2" s="15"/>
      <c r="M2" s="6"/>
    </row>
    <row r="3" spans="1:19" ht="18" customHeight="1" thickBot="1">
      <c r="A3" s="16"/>
      <c r="B3" s="16"/>
      <c r="C3" s="16"/>
      <c r="D3" s="16"/>
      <c r="E3" s="27" t="s">
        <v>4</v>
      </c>
      <c r="F3" s="18"/>
      <c r="G3" s="16"/>
      <c r="H3" s="16"/>
      <c r="I3" s="16"/>
      <c r="J3" s="16"/>
      <c r="K3" s="19">
        <f>Data!C1</f>
        <v>0</v>
      </c>
      <c r="M3" s="7"/>
    </row>
    <row r="4" spans="1:19" ht="7.15" customHeight="1"/>
    <row r="5" spans="1:19" ht="19.5">
      <c r="A5" s="20" t="str">
        <f>"交易概況("&amp;YEAR(Data!$B$1)&amp;"/"&amp;MONTH(Data!$B$1)&amp;"/"&amp;DAY(Data!$B$1)&amp;"~"&amp;MONTH(Data!$C$1)&amp;"/"&amp;DAY(Data!$C$1)&amp;")"</f>
        <v>交易概況(1900/1/0~1/0)</v>
      </c>
    </row>
    <row r="6" spans="1:19" ht="15.6" customHeight="1">
      <c r="A6" s="21" t="s">
        <v>0</v>
      </c>
      <c r="B6" s="60" t="e">
        <f>"本週歐元兌美元期貨(XEF)日均量為"&amp;TEXT(Data!$D$22,0)&amp;"口，美元兌日圓期貨(XJF)為"&amp;TEXT(Data!$B$22,0)&amp;"口。同期間XEF契約成交名目本金約"&amp;TEXT(Data!$D$26,"0.00")&amp;"億美元，XJF約為"&amp;TEXT(Data!$B$24,"0.00")&amp;"億日圓。"</f>
        <v>#DIV/0!</v>
      </c>
      <c r="C6" s="61"/>
      <c r="D6" s="61"/>
      <c r="E6" s="61"/>
      <c r="F6" s="61"/>
      <c r="G6" s="61"/>
      <c r="H6" s="61"/>
      <c r="I6" s="61"/>
      <c r="J6" s="61"/>
      <c r="K6" s="61"/>
      <c r="M6" s="5"/>
      <c r="N6" s="44"/>
    </row>
    <row r="7" spans="1:19" ht="15.6" customHeight="1">
      <c r="B7" s="61"/>
      <c r="C7" s="61"/>
      <c r="D7" s="61"/>
      <c r="E7" s="61"/>
      <c r="F7" s="61"/>
      <c r="G7" s="61"/>
      <c r="H7" s="61"/>
      <c r="I7" s="61"/>
      <c r="J7" s="61"/>
      <c r="K7" s="61"/>
      <c r="M7" s="29"/>
      <c r="N7" s="31"/>
    </row>
    <row r="8" spans="1:19" ht="15.6" customHeight="1">
      <c r="B8" s="61"/>
      <c r="C8" s="61"/>
      <c r="D8" s="61"/>
      <c r="E8" s="61"/>
      <c r="F8" s="61"/>
      <c r="G8" s="61"/>
      <c r="H8" s="61"/>
      <c r="I8" s="61"/>
      <c r="J8" s="61"/>
      <c r="K8" s="61"/>
      <c r="M8" s="29"/>
      <c r="N8" s="30"/>
    </row>
    <row r="9" spans="1:19" ht="15.6" customHeight="1">
      <c r="B9" s="61"/>
      <c r="C9" s="61"/>
      <c r="D9" s="61"/>
      <c r="E9" s="61"/>
      <c r="F9" s="61"/>
      <c r="G9" s="61"/>
      <c r="H9" s="61"/>
      <c r="I9" s="61"/>
      <c r="J9" s="61"/>
      <c r="K9" s="61"/>
      <c r="M9" s="47"/>
      <c r="N9" s="45"/>
    </row>
    <row r="10" spans="1:19" ht="19.5">
      <c r="A10" s="21" t="s">
        <v>0</v>
      </c>
      <c r="B10" s="62" t="e">
        <f>MONTH(Data!$C$1)&amp;"月"&amp;DAY(Data!$C$1)&amp;"日收盤XEF未平倉量為"&amp;Data!E22&amp;"口，XJF為"&amp;Data!C22&amp;"口。"</f>
        <v>#N/A</v>
      </c>
      <c r="C10" s="62"/>
      <c r="D10" s="62"/>
      <c r="E10" s="62"/>
      <c r="F10" s="62"/>
      <c r="G10" s="62"/>
      <c r="H10" s="62"/>
      <c r="I10" s="62"/>
      <c r="J10" s="62"/>
      <c r="K10" s="62"/>
      <c r="M10" s="47"/>
      <c r="N10" s="45"/>
    </row>
    <row r="11" spans="1:19" ht="13.9" customHeight="1">
      <c r="M11" s="47"/>
      <c r="N11" s="45"/>
    </row>
    <row r="12" spans="1:19">
      <c r="B12" s="22" t="s">
        <v>5</v>
      </c>
      <c r="G12" s="33" t="s">
        <v>6</v>
      </c>
      <c r="M12" s="6"/>
      <c r="N12" s="45"/>
    </row>
    <row r="13" spans="1:19">
      <c r="M13" s="38"/>
      <c r="N13" s="39"/>
      <c r="O13" s="32"/>
      <c r="P13" s="32"/>
      <c r="Q13" s="32"/>
      <c r="R13" s="32"/>
      <c r="S13" s="32"/>
    </row>
    <row r="14" spans="1:19">
      <c r="M14" s="38"/>
      <c r="N14" s="38"/>
      <c r="O14" s="32"/>
      <c r="P14" s="32"/>
      <c r="Q14" s="32"/>
      <c r="R14" s="32"/>
      <c r="S14" s="32"/>
    </row>
    <row r="15" spans="1:19">
      <c r="M15" s="34"/>
      <c r="N15" s="32"/>
      <c r="O15" s="32"/>
      <c r="P15" s="32"/>
      <c r="Q15" s="32"/>
      <c r="R15" s="32"/>
      <c r="S15" s="32"/>
    </row>
    <row r="16" spans="1:19">
      <c r="M16" s="32"/>
      <c r="N16" s="32"/>
      <c r="O16" s="32"/>
      <c r="P16" s="32"/>
      <c r="Q16" s="32"/>
      <c r="R16" s="32"/>
      <c r="S16" s="32"/>
    </row>
    <row r="17" spans="2:19">
      <c r="M17" s="35"/>
      <c r="N17" s="32"/>
      <c r="O17" s="32"/>
      <c r="P17" s="32"/>
      <c r="Q17" s="32"/>
      <c r="R17" s="32"/>
      <c r="S17" s="32"/>
    </row>
    <row r="18" spans="2:19">
      <c r="M18" s="36"/>
      <c r="N18" s="37"/>
      <c r="O18" s="37"/>
      <c r="P18" s="37"/>
      <c r="Q18" s="37"/>
      <c r="R18" s="37"/>
      <c r="S18" s="37"/>
    </row>
    <row r="19" spans="2:19">
      <c r="M19" s="37"/>
      <c r="N19" s="37"/>
      <c r="O19" s="37"/>
      <c r="P19" s="37"/>
      <c r="Q19" s="37"/>
      <c r="R19" s="37"/>
      <c r="S19" s="37"/>
    </row>
    <row r="20" spans="2:19">
      <c r="M20" s="37"/>
      <c r="N20" s="37"/>
      <c r="O20" s="37"/>
      <c r="P20" s="37"/>
      <c r="Q20" s="37"/>
      <c r="R20" s="37"/>
      <c r="S20" s="37"/>
    </row>
    <row r="21" spans="2:19">
      <c r="M21" s="37"/>
      <c r="N21" s="37"/>
      <c r="O21" s="37"/>
      <c r="P21" s="37"/>
      <c r="Q21" s="37"/>
      <c r="R21" s="37"/>
      <c r="S21" s="37"/>
    </row>
    <row r="22" spans="2:19">
      <c r="M22" s="37"/>
      <c r="N22" s="37"/>
      <c r="O22" s="37"/>
      <c r="P22" s="37"/>
      <c r="Q22" s="37"/>
      <c r="R22" s="37"/>
      <c r="S22" s="37"/>
    </row>
    <row r="23" spans="2:19">
      <c r="M23" s="37"/>
      <c r="N23" s="37"/>
      <c r="O23" s="37"/>
      <c r="P23" s="37"/>
      <c r="Q23" s="37"/>
      <c r="R23" s="37"/>
      <c r="S23" s="37"/>
    </row>
    <row r="24" spans="2:19">
      <c r="B24" s="28" t="str">
        <f>"XEF交易量分布(依到期月份) -"&amp;MONTH(Data!$B$1)&amp;"/"&amp;DAY(Data!$B$1)&amp;"~"&amp;MONTH(Data!$C$1)&amp;"/"&amp;DAY(Data!$C$1)</f>
        <v>XEF交易量分布(依到期月份) -1/0~1/0</v>
      </c>
      <c r="G24" s="40" t="str">
        <f>"XJF交易量分布(依到期月份) -"&amp;MONTH(Data!$B$1)&amp;"/"&amp;DAY(Data!$B$1)&amp;"~"&amp;MONTH(Data!$C$1)&amp;"/"&amp;DAY(Data!$C$1)</f>
        <v>XJF交易量分布(依到期月份) -1/0~1/0</v>
      </c>
      <c r="M24" s="32"/>
      <c r="N24" s="32"/>
      <c r="O24" s="32"/>
      <c r="P24" s="32"/>
      <c r="Q24" s="32"/>
      <c r="R24" s="32"/>
      <c r="S24" s="32"/>
    </row>
    <row r="25" spans="2:19">
      <c r="M25" s="32"/>
      <c r="N25" s="32"/>
      <c r="O25" s="32"/>
      <c r="P25" s="32"/>
      <c r="Q25" s="32"/>
      <c r="R25" s="32"/>
      <c r="S25" s="32"/>
    </row>
    <row r="26" spans="2:19">
      <c r="M26" s="32"/>
      <c r="N26" s="32"/>
      <c r="O26" s="32"/>
      <c r="P26" s="32"/>
      <c r="Q26" s="32"/>
      <c r="R26" s="32"/>
      <c r="S26" s="32"/>
    </row>
    <row r="27" spans="2:19">
      <c r="M27" s="32"/>
      <c r="N27" s="32"/>
      <c r="O27" s="32"/>
      <c r="P27" s="32"/>
      <c r="Q27" s="32"/>
      <c r="R27" s="32"/>
      <c r="S27" s="32"/>
    </row>
    <row r="28" spans="2:19">
      <c r="M28" s="32"/>
      <c r="N28" s="32"/>
      <c r="O28" s="32"/>
      <c r="P28" s="32"/>
      <c r="Q28" s="32"/>
      <c r="R28" s="32"/>
      <c r="S28" s="32"/>
    </row>
    <row r="29" spans="2:19">
      <c r="M29" s="32"/>
      <c r="N29" s="32"/>
      <c r="O29" s="32"/>
      <c r="P29" s="32"/>
      <c r="Q29" s="32"/>
      <c r="R29" s="32"/>
      <c r="S29" s="32"/>
    </row>
    <row r="30" spans="2:19">
      <c r="M30" s="32"/>
      <c r="N30" s="32"/>
      <c r="O30" s="32"/>
      <c r="P30" s="32"/>
      <c r="Q30" s="32"/>
      <c r="R30" s="32"/>
      <c r="S30" s="32"/>
    </row>
    <row r="31" spans="2:19">
      <c r="M31" s="32"/>
      <c r="N31" s="32"/>
      <c r="O31" s="32"/>
      <c r="P31" s="32"/>
      <c r="Q31" s="32"/>
      <c r="R31" s="32"/>
      <c r="S31" s="32"/>
    </row>
    <row r="32" spans="2:19">
      <c r="M32" s="32"/>
      <c r="N32" s="32"/>
      <c r="O32" s="32"/>
      <c r="P32" s="32"/>
      <c r="Q32" s="32"/>
      <c r="R32" s="32"/>
      <c r="S32" s="32"/>
    </row>
    <row r="36" spans="1:11">
      <c r="B36" s="28" t="str">
        <f>"XEF未平倉量分布(依到期月份) -"&amp;MONTH(Data!$C$1)&amp;"/"&amp;DAY(Data!$C$1)</f>
        <v>XEF未平倉量分布(依到期月份) -1/0</v>
      </c>
      <c r="G36" s="28" t="str">
        <f>"XJF未平倉量分布(依到期月份) -"&amp;MONTH(Data!$C$1)&amp;"/"&amp;DAY(Data!$C$1)</f>
        <v>XJF未平倉量分布(依到期月份) -1/0</v>
      </c>
    </row>
    <row r="45" spans="1:11" ht="21" customHeight="1"/>
    <row r="46" spans="1:11" ht="19.899999999999999" customHeight="1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1:11" ht="12.6" customHeight="1" thickBot="1">
      <c r="A47" s="17"/>
      <c r="B47" s="17"/>
      <c r="C47" s="17"/>
      <c r="D47" s="17"/>
      <c r="E47" s="17"/>
      <c r="F47" s="23"/>
      <c r="G47" s="17"/>
      <c r="H47" s="17"/>
      <c r="I47" s="17"/>
      <c r="J47" s="17"/>
      <c r="K47" s="17"/>
    </row>
    <row r="48" spans="1:11">
      <c r="F48" s="26">
        <v>1</v>
      </c>
    </row>
    <row r="50" spans="6:6">
      <c r="F50" s="24" t="s">
        <v>7</v>
      </c>
    </row>
    <row r="63" spans="6:6" ht="19.5">
      <c r="F63" s="25" t="s">
        <v>13</v>
      </c>
    </row>
    <row r="95" spans="1:11" ht="17.25" thickBot="1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</row>
    <row r="96" spans="1:11">
      <c r="F96" s="26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</vt:i4>
      </vt:variant>
    </vt:vector>
  </HeadingPairs>
  <TitlesOfParts>
    <vt:vector size="5" baseType="lpstr">
      <vt:lpstr>Data</vt:lpstr>
      <vt:lpstr>走勢圖</vt:lpstr>
      <vt:lpstr>印表</vt:lpstr>
      <vt:lpstr>印表!OLE_LINK15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KJSOFT</cp:lastModifiedBy>
  <cp:lastPrinted>2016-12-23T09:19:54Z</cp:lastPrinted>
  <dcterms:created xsi:type="dcterms:W3CDTF">2015-07-28T01:40:14Z</dcterms:created>
  <dcterms:modified xsi:type="dcterms:W3CDTF">2019-06-11T02:48:39Z</dcterms:modified>
</cp:coreProperties>
</file>