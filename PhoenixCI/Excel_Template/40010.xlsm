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629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hn\Source\Repos\buckblader\RekindlePhoenixCI\PhoenixCI\Excel_Template\"/>
    </mc:Choice>
  </mc:AlternateContent>
  <xr:revisionPtr revIDLastSave="0" documentId="8_{F03507EA-1826-4584-B32F-5564442CB3C5}" xr6:coauthVersionLast="43" xr6:coauthVersionMax="43" xr10:uidLastSave="{00000000-0000-0000-0000-000000000000}"/>
  <bookViews>
    <workbookView xWindow="1560" yWindow="1560" windowWidth="15375" windowHeight="7875" activeTab="1"/>
  </bookViews>
  <sheets>
    <sheet name="report" sheetId="4" r:id="rId1"/>
    <sheet name="Rawdata" sheetId="1" r:id="rId2"/>
  </sheets>
  <definedNames>
    <definedName name="_xlnm.Print_Area" localSheetId="1">Rawdata!$A$2:$AH$258</definedName>
    <definedName name="_xlnm.Print_Area" localSheetId="0">report!$A$1:$J$16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" i="4" l="1"/>
  <c r="G4" i="4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D4" i="4"/>
  <c r="C4" i="4"/>
  <c r="W257" i="1"/>
  <c r="V257" i="1"/>
  <c r="W256" i="1"/>
  <c r="V256" i="1"/>
  <c r="W255" i="1"/>
  <c r="V255" i="1"/>
  <c r="W254" i="1"/>
  <c r="V254" i="1"/>
  <c r="W253" i="1"/>
  <c r="V253" i="1"/>
  <c r="W252" i="1"/>
  <c r="V252" i="1"/>
  <c r="W251" i="1"/>
  <c r="V251" i="1"/>
  <c r="W250" i="1"/>
  <c r="V250" i="1"/>
  <c r="W249" i="1"/>
  <c r="V249" i="1"/>
  <c r="W248" i="1"/>
  <c r="V248" i="1"/>
  <c r="W247" i="1"/>
  <c r="V247" i="1"/>
  <c r="W246" i="1"/>
  <c r="V246" i="1"/>
  <c r="W245" i="1"/>
  <c r="V245" i="1"/>
  <c r="W244" i="1"/>
  <c r="V244" i="1"/>
  <c r="W243" i="1"/>
  <c r="V243" i="1"/>
  <c r="W242" i="1"/>
  <c r="V242" i="1"/>
  <c r="W241" i="1"/>
  <c r="V241" i="1"/>
  <c r="W240" i="1"/>
  <c r="V240" i="1"/>
  <c r="W239" i="1"/>
  <c r="V239" i="1"/>
  <c r="W238" i="1"/>
  <c r="V238" i="1"/>
  <c r="W237" i="1"/>
  <c r="V237" i="1"/>
  <c r="W236" i="1"/>
  <c r="V236" i="1"/>
  <c r="W235" i="1"/>
  <c r="V235" i="1"/>
  <c r="W234" i="1"/>
  <c r="V234" i="1"/>
  <c r="W233" i="1"/>
  <c r="V233" i="1"/>
  <c r="W232" i="1"/>
  <c r="V232" i="1"/>
  <c r="W231" i="1"/>
  <c r="V231" i="1"/>
  <c r="W230" i="1"/>
  <c r="V230" i="1"/>
  <c r="W229" i="1"/>
  <c r="V229" i="1"/>
  <c r="W228" i="1"/>
  <c r="V228" i="1"/>
  <c r="W227" i="1"/>
  <c r="V227" i="1"/>
  <c r="W226" i="1"/>
  <c r="V226" i="1"/>
  <c r="W225" i="1"/>
  <c r="V225" i="1"/>
  <c r="W224" i="1"/>
  <c r="V224" i="1"/>
  <c r="W223" i="1"/>
  <c r="V223" i="1"/>
  <c r="W222" i="1"/>
  <c r="V222" i="1"/>
  <c r="W221" i="1"/>
  <c r="V221" i="1"/>
  <c r="W220" i="1"/>
  <c r="V220" i="1"/>
  <c r="W219" i="1"/>
  <c r="V219" i="1"/>
  <c r="W218" i="1"/>
  <c r="V218" i="1"/>
  <c r="W217" i="1"/>
  <c r="V217" i="1"/>
  <c r="W216" i="1"/>
  <c r="V216" i="1"/>
  <c r="W215" i="1"/>
  <c r="V215" i="1"/>
  <c r="W214" i="1"/>
  <c r="V214" i="1"/>
  <c r="W213" i="1"/>
  <c r="V213" i="1"/>
  <c r="W212" i="1"/>
  <c r="V212" i="1"/>
  <c r="W211" i="1"/>
  <c r="V211" i="1"/>
  <c r="W210" i="1"/>
  <c r="V210" i="1"/>
  <c r="W209" i="1"/>
  <c r="V209" i="1"/>
  <c r="W208" i="1"/>
  <c r="V208" i="1"/>
  <c r="W207" i="1"/>
  <c r="V207" i="1"/>
  <c r="W206" i="1"/>
  <c r="V206" i="1"/>
  <c r="W205" i="1"/>
  <c r="V205" i="1"/>
  <c r="W204" i="1"/>
  <c r="V204" i="1"/>
  <c r="W203" i="1"/>
  <c r="V203" i="1"/>
  <c r="W202" i="1"/>
  <c r="V202" i="1"/>
  <c r="W201" i="1"/>
  <c r="V201" i="1"/>
  <c r="W200" i="1"/>
  <c r="V200" i="1"/>
  <c r="W199" i="1"/>
  <c r="V199" i="1"/>
  <c r="W198" i="1"/>
  <c r="V198" i="1"/>
  <c r="W197" i="1"/>
  <c r="V197" i="1"/>
  <c r="W196" i="1"/>
  <c r="V196" i="1"/>
  <c r="W195" i="1"/>
  <c r="V195" i="1"/>
  <c r="W194" i="1"/>
  <c r="V194" i="1"/>
  <c r="W193" i="1"/>
  <c r="V193" i="1"/>
  <c r="W192" i="1"/>
  <c r="V192" i="1"/>
  <c r="W191" i="1"/>
  <c r="V191" i="1"/>
  <c r="W190" i="1"/>
  <c r="V190" i="1"/>
  <c r="W189" i="1"/>
  <c r="V189" i="1"/>
  <c r="W188" i="1"/>
  <c r="V188" i="1"/>
  <c r="W187" i="1"/>
  <c r="V187" i="1"/>
  <c r="W186" i="1"/>
  <c r="V186" i="1"/>
  <c r="W185" i="1"/>
  <c r="V185" i="1"/>
  <c r="W184" i="1"/>
  <c r="V184" i="1"/>
  <c r="W183" i="1"/>
  <c r="V183" i="1"/>
  <c r="W182" i="1"/>
  <c r="V182" i="1"/>
  <c r="W181" i="1"/>
  <c r="V181" i="1"/>
  <c r="W180" i="1"/>
  <c r="V180" i="1"/>
  <c r="W179" i="1"/>
  <c r="V179" i="1"/>
  <c r="W178" i="1"/>
  <c r="V178" i="1"/>
  <c r="W177" i="1"/>
  <c r="V177" i="1"/>
  <c r="W176" i="1"/>
  <c r="V176" i="1"/>
  <c r="W175" i="1"/>
  <c r="V175" i="1"/>
  <c r="W174" i="1"/>
  <c r="V174" i="1"/>
  <c r="W173" i="1"/>
  <c r="V173" i="1"/>
  <c r="W172" i="1"/>
  <c r="V172" i="1"/>
  <c r="W171" i="1"/>
  <c r="V171" i="1"/>
  <c r="W170" i="1"/>
  <c r="V170" i="1"/>
  <c r="W169" i="1"/>
  <c r="V169" i="1"/>
  <c r="W168" i="1"/>
  <c r="V168" i="1"/>
  <c r="W167" i="1"/>
  <c r="V167" i="1"/>
  <c r="W166" i="1"/>
  <c r="V166" i="1"/>
  <c r="W165" i="1"/>
  <c r="V165" i="1"/>
  <c r="W164" i="1"/>
  <c r="V164" i="1"/>
  <c r="W163" i="1"/>
  <c r="V163" i="1"/>
  <c r="W162" i="1"/>
  <c r="V162" i="1"/>
  <c r="W161" i="1"/>
  <c r="V161" i="1"/>
  <c r="W160" i="1"/>
  <c r="V160" i="1"/>
  <c r="W159" i="1"/>
  <c r="V159" i="1"/>
  <c r="W158" i="1"/>
  <c r="V158" i="1"/>
  <c r="W157" i="1"/>
  <c r="V157" i="1"/>
  <c r="W156" i="1"/>
  <c r="V156" i="1"/>
  <c r="W155" i="1"/>
  <c r="V155" i="1"/>
  <c r="W154" i="1"/>
  <c r="V154" i="1"/>
  <c r="W153" i="1"/>
  <c r="V153" i="1"/>
  <c r="W152" i="1"/>
  <c r="V152" i="1"/>
  <c r="W151" i="1"/>
  <c r="V151" i="1"/>
  <c r="W150" i="1"/>
  <c r="V150" i="1"/>
  <c r="W149" i="1"/>
  <c r="V149" i="1"/>
  <c r="W148" i="1"/>
  <c r="V148" i="1"/>
  <c r="W147" i="1"/>
  <c r="V147" i="1"/>
  <c r="W146" i="1"/>
  <c r="V146" i="1"/>
  <c r="W145" i="1"/>
  <c r="V145" i="1"/>
  <c r="W144" i="1"/>
  <c r="V144" i="1"/>
  <c r="W143" i="1"/>
  <c r="V143" i="1"/>
  <c r="W142" i="1"/>
  <c r="V142" i="1"/>
  <c r="W141" i="1"/>
  <c r="V141" i="1"/>
  <c r="W140" i="1"/>
  <c r="V140" i="1"/>
  <c r="W139" i="1"/>
  <c r="V139" i="1"/>
  <c r="W138" i="1"/>
  <c r="V138" i="1"/>
  <c r="W137" i="1"/>
  <c r="V137" i="1"/>
  <c r="W136" i="1"/>
  <c r="V136" i="1"/>
  <c r="W135" i="1"/>
  <c r="V135" i="1"/>
  <c r="W134" i="1"/>
  <c r="V134" i="1"/>
  <c r="W133" i="1"/>
  <c r="V133" i="1"/>
  <c r="W132" i="1"/>
  <c r="V132" i="1"/>
  <c r="W131" i="1"/>
  <c r="V131" i="1"/>
  <c r="W130" i="1"/>
  <c r="V130" i="1"/>
  <c r="W129" i="1"/>
  <c r="V129" i="1"/>
  <c r="W128" i="1"/>
  <c r="V128" i="1"/>
  <c r="W127" i="1"/>
  <c r="V127" i="1"/>
  <c r="W126" i="1"/>
  <c r="V126" i="1"/>
  <c r="W125" i="1"/>
  <c r="V125" i="1"/>
  <c r="W124" i="1"/>
  <c r="V124" i="1"/>
  <c r="W123" i="1"/>
  <c r="V123" i="1"/>
  <c r="W122" i="1"/>
  <c r="V122" i="1"/>
  <c r="W121" i="1"/>
  <c r="V121" i="1"/>
  <c r="W120" i="1"/>
  <c r="V120" i="1"/>
  <c r="W119" i="1"/>
  <c r="V119" i="1"/>
  <c r="W118" i="1"/>
  <c r="V118" i="1"/>
  <c r="W117" i="1"/>
  <c r="V117" i="1"/>
  <c r="W116" i="1"/>
  <c r="V116" i="1"/>
  <c r="W115" i="1"/>
  <c r="V115" i="1"/>
  <c r="W114" i="1"/>
  <c r="V114" i="1"/>
  <c r="W113" i="1"/>
  <c r="V113" i="1"/>
  <c r="W112" i="1"/>
  <c r="V112" i="1"/>
  <c r="W111" i="1"/>
  <c r="V111" i="1"/>
  <c r="W110" i="1"/>
  <c r="V110" i="1"/>
  <c r="W109" i="1"/>
  <c r="V109" i="1"/>
  <c r="W108" i="1"/>
  <c r="V108" i="1"/>
  <c r="W107" i="1"/>
  <c r="V107" i="1"/>
  <c r="W106" i="1"/>
  <c r="V106" i="1"/>
  <c r="W105" i="1"/>
  <c r="V105" i="1"/>
  <c r="W104" i="1"/>
  <c r="V104" i="1"/>
  <c r="W103" i="1"/>
  <c r="V103" i="1"/>
  <c r="W102" i="1"/>
  <c r="V102" i="1"/>
  <c r="W101" i="1"/>
  <c r="V101" i="1"/>
  <c r="W100" i="1"/>
  <c r="V100" i="1"/>
  <c r="W99" i="1"/>
  <c r="V99" i="1"/>
  <c r="W98" i="1"/>
  <c r="V98" i="1"/>
  <c r="W97" i="1"/>
  <c r="V97" i="1"/>
  <c r="W96" i="1"/>
  <c r="V96" i="1"/>
  <c r="W95" i="1"/>
  <c r="V95" i="1"/>
  <c r="W94" i="1"/>
  <c r="V94" i="1"/>
  <c r="W93" i="1"/>
  <c r="V93" i="1"/>
  <c r="W92" i="1"/>
  <c r="V92" i="1"/>
  <c r="W91" i="1"/>
  <c r="V91" i="1"/>
  <c r="W90" i="1"/>
  <c r="V90" i="1"/>
  <c r="W89" i="1"/>
  <c r="V89" i="1"/>
  <c r="W88" i="1"/>
  <c r="V88" i="1"/>
  <c r="W87" i="1"/>
  <c r="V87" i="1"/>
  <c r="W86" i="1"/>
  <c r="V86" i="1"/>
  <c r="W85" i="1"/>
  <c r="V85" i="1"/>
  <c r="W84" i="1"/>
  <c r="V84" i="1"/>
  <c r="W83" i="1"/>
  <c r="V83" i="1"/>
  <c r="W82" i="1"/>
  <c r="V82" i="1"/>
  <c r="W81" i="1"/>
  <c r="V81" i="1"/>
  <c r="W80" i="1"/>
  <c r="V80" i="1"/>
  <c r="W79" i="1"/>
  <c r="V79" i="1"/>
  <c r="W78" i="1"/>
  <c r="V78" i="1"/>
  <c r="W77" i="1"/>
  <c r="AA77" i="1" s="1"/>
  <c r="V77" i="1"/>
  <c r="W76" i="1"/>
  <c r="V76" i="1"/>
  <c r="W75" i="1"/>
  <c r="X75" i="1" s="1"/>
  <c r="AA75" i="1"/>
  <c r="AB75" i="1"/>
  <c r="AE75" i="1" s="1"/>
  <c r="V75" i="1"/>
  <c r="W74" i="1"/>
  <c r="V74" i="1"/>
  <c r="W73" i="1"/>
  <c r="X73" i="1"/>
  <c r="AB73" i="1"/>
  <c r="AE73" i="1"/>
  <c r="V73" i="1"/>
  <c r="W72" i="1"/>
  <c r="V72" i="1"/>
  <c r="W71" i="1"/>
  <c r="V71" i="1"/>
  <c r="W70" i="1"/>
  <c r="AA70" i="1" s="1"/>
  <c r="V70" i="1"/>
  <c r="W69" i="1"/>
  <c r="Z69" i="1"/>
  <c r="V69" i="1"/>
  <c r="W68" i="1"/>
  <c r="V68" i="1"/>
  <c r="W67" i="1"/>
  <c r="V67" i="1"/>
  <c r="W66" i="1"/>
  <c r="V66" i="1"/>
  <c r="W65" i="1"/>
  <c r="Y65" i="1" s="1"/>
  <c r="V65" i="1"/>
  <c r="W64" i="1"/>
  <c r="AA64" i="1"/>
  <c r="V64" i="1"/>
  <c r="W63" i="1"/>
  <c r="V63" i="1"/>
  <c r="W62" i="1"/>
  <c r="V62" i="1"/>
  <c r="W61" i="1"/>
  <c r="V61" i="1"/>
  <c r="W60" i="1"/>
  <c r="V60" i="1"/>
  <c r="W59" i="1"/>
  <c r="X59" i="1" s="1"/>
  <c r="AB59" i="1"/>
  <c r="AE59" i="1" s="1"/>
  <c r="V59" i="1"/>
  <c r="W58" i="1"/>
  <c r="Y58" i="1" s="1"/>
  <c r="Z58" i="1"/>
  <c r="V58" i="1"/>
  <c r="W57" i="1"/>
  <c r="X57" i="1"/>
  <c r="V57" i="1"/>
  <c r="W56" i="1"/>
  <c r="V56" i="1"/>
  <c r="W55" i="1"/>
  <c r="X55" i="1" s="1"/>
  <c r="AB55" i="1"/>
  <c r="AE55" i="1" s="1"/>
  <c r="V55" i="1"/>
  <c r="W54" i="1"/>
  <c r="Y54" i="1" s="1"/>
  <c r="V54" i="1"/>
  <c r="W53" i="1"/>
  <c r="V53" i="1"/>
  <c r="W52" i="1"/>
  <c r="X52" i="1"/>
  <c r="AB52" i="1"/>
  <c r="AE52" i="1"/>
  <c r="AF52" i="1" s="1"/>
  <c r="V52" i="1"/>
  <c r="W51" i="1"/>
  <c r="X51" i="1"/>
  <c r="AB51" i="1"/>
  <c r="AE51" i="1"/>
  <c r="V51" i="1"/>
  <c r="W50" i="1"/>
  <c r="V50" i="1"/>
  <c r="W49" i="1"/>
  <c r="Z49" i="1" s="1"/>
  <c r="V49" i="1"/>
  <c r="W48" i="1"/>
  <c r="V48" i="1"/>
  <c r="W47" i="1"/>
  <c r="V47" i="1"/>
  <c r="W46" i="1"/>
  <c r="AA46" i="1"/>
  <c r="V46" i="1"/>
  <c r="W45" i="1"/>
  <c r="Y45" i="1" s="1"/>
  <c r="V45" i="1"/>
  <c r="W44" i="1"/>
  <c r="V44" i="1"/>
  <c r="W43" i="1"/>
  <c r="X43" i="1"/>
  <c r="AB43" i="1"/>
  <c r="AE43" i="1"/>
  <c r="AG43" i="1" s="1"/>
  <c r="AH43" i="1" s="1"/>
  <c r="V43" i="1"/>
  <c r="W42" i="1"/>
  <c r="Y42" i="1" s="1"/>
  <c r="V42" i="1"/>
  <c r="W41" i="1"/>
  <c r="Z41" i="1"/>
  <c r="AA41" i="1"/>
  <c r="V41" i="1"/>
  <c r="W40" i="1"/>
  <c r="V40" i="1"/>
  <c r="W39" i="1"/>
  <c r="AA39" i="1"/>
  <c r="V39" i="1"/>
  <c r="W38" i="1"/>
  <c r="X38" i="1"/>
  <c r="AB38" i="1"/>
  <c r="AE38" i="1" s="1"/>
  <c r="V38" i="1"/>
  <c r="W37" i="1"/>
  <c r="V37" i="1"/>
  <c r="W36" i="1"/>
  <c r="AB36" i="1"/>
  <c r="AE36" i="1"/>
  <c r="AG36" i="1"/>
  <c r="AH36" i="1" s="1"/>
  <c r="V36" i="1"/>
  <c r="W35" i="1"/>
  <c r="AA35" i="1"/>
  <c r="V35" i="1"/>
  <c r="W34" i="1"/>
  <c r="V34" i="1"/>
  <c r="W33" i="1"/>
  <c r="V33" i="1"/>
  <c r="W32" i="1"/>
  <c r="V32" i="1"/>
  <c r="W31" i="1"/>
  <c r="V31" i="1"/>
  <c r="W30" i="1"/>
  <c r="V30" i="1"/>
  <c r="W29" i="1"/>
  <c r="V29" i="1"/>
  <c r="W28" i="1"/>
  <c r="V28" i="1"/>
  <c r="W27" i="1"/>
  <c r="X27" i="1" s="1"/>
  <c r="V27" i="1"/>
  <c r="W26" i="1"/>
  <c r="V26" i="1"/>
  <c r="W25" i="1"/>
  <c r="V25" i="1"/>
  <c r="W24" i="1"/>
  <c r="X24" i="1"/>
  <c r="V24" i="1"/>
  <c r="W23" i="1"/>
  <c r="V23" i="1"/>
  <c r="W22" i="1"/>
  <c r="V22" i="1"/>
  <c r="W21" i="1"/>
  <c r="V21" i="1"/>
  <c r="W20" i="1"/>
  <c r="V20" i="1"/>
  <c r="W19" i="1"/>
  <c r="X19" i="1"/>
  <c r="Z19" i="1"/>
  <c r="V19" i="1"/>
  <c r="W18" i="1"/>
  <c r="V18" i="1"/>
  <c r="W17" i="1"/>
  <c r="V17" i="1"/>
  <c r="W16" i="1"/>
  <c r="V16" i="1"/>
  <c r="W15" i="1"/>
  <c r="V15" i="1"/>
  <c r="W14" i="1"/>
  <c r="V14" i="1"/>
  <c r="W13" i="1"/>
  <c r="V13" i="1"/>
  <c r="W12" i="1"/>
  <c r="X12" i="1"/>
  <c r="V12" i="1"/>
  <c r="W11" i="1"/>
  <c r="V11" i="1"/>
  <c r="W10" i="1"/>
  <c r="V10" i="1"/>
  <c r="W9" i="1"/>
  <c r="V9" i="1"/>
  <c r="W8" i="1"/>
  <c r="V8" i="1"/>
  <c r="W7" i="1"/>
  <c r="AA7" i="1"/>
  <c r="V7" i="1"/>
  <c r="W6" i="1"/>
  <c r="Z6" i="1" s="1"/>
  <c r="V6" i="1"/>
  <c r="W5" i="1"/>
  <c r="V5" i="1"/>
  <c r="W4" i="1"/>
  <c r="V4" i="1"/>
  <c r="W3" i="1"/>
  <c r="V3" i="1"/>
  <c r="E257" i="1"/>
  <c r="E4" i="1"/>
  <c r="E5" i="1"/>
  <c r="G5" i="1" s="1"/>
  <c r="E6" i="1"/>
  <c r="E7" i="1"/>
  <c r="E8" i="1"/>
  <c r="H8" i="1" s="1"/>
  <c r="E9" i="1"/>
  <c r="G9" i="1" s="1"/>
  <c r="E10" i="1"/>
  <c r="E11" i="1"/>
  <c r="E12" i="1"/>
  <c r="E13" i="1"/>
  <c r="E14" i="1"/>
  <c r="H14" i="1" s="1"/>
  <c r="E15" i="1"/>
  <c r="E16" i="1"/>
  <c r="G16" i="1"/>
  <c r="E17" i="1"/>
  <c r="H17" i="1"/>
  <c r="E18" i="1"/>
  <c r="F18" i="1"/>
  <c r="K18" i="1" s="1"/>
  <c r="E19" i="1"/>
  <c r="F19" i="1" s="1"/>
  <c r="E20" i="1"/>
  <c r="E21" i="1"/>
  <c r="E22" i="1"/>
  <c r="F22" i="1" s="1"/>
  <c r="E23" i="1"/>
  <c r="E24" i="1"/>
  <c r="I24" i="1"/>
  <c r="E25" i="1"/>
  <c r="E26" i="1"/>
  <c r="E27" i="1"/>
  <c r="G27" i="1"/>
  <c r="E28" i="1"/>
  <c r="E29" i="1"/>
  <c r="G29" i="1" s="1"/>
  <c r="E30" i="1"/>
  <c r="G30" i="1"/>
  <c r="E31" i="1"/>
  <c r="G31" i="1" s="1"/>
  <c r="E32" i="1"/>
  <c r="E33" i="1"/>
  <c r="F33" i="1"/>
  <c r="L33" i="1" s="1"/>
  <c r="O33" i="1" s="1"/>
  <c r="E34" i="1"/>
  <c r="E35" i="1"/>
  <c r="E36" i="1"/>
  <c r="E37" i="1"/>
  <c r="E38" i="1"/>
  <c r="E39" i="1"/>
  <c r="E40" i="1"/>
  <c r="G40" i="1"/>
  <c r="E41" i="1"/>
  <c r="E42" i="1"/>
  <c r="I42" i="1"/>
  <c r="E43" i="1"/>
  <c r="H43" i="1"/>
  <c r="E44" i="1"/>
  <c r="G44" i="1"/>
  <c r="E45" i="1"/>
  <c r="E46" i="1"/>
  <c r="E47" i="1"/>
  <c r="E48" i="1"/>
  <c r="E49" i="1"/>
  <c r="F49" i="1"/>
  <c r="L49" i="1" s="1"/>
  <c r="O49" i="1" s="1"/>
  <c r="E50" i="1"/>
  <c r="E51" i="1"/>
  <c r="E52" i="1"/>
  <c r="E53" i="1"/>
  <c r="E54" i="1"/>
  <c r="F54" i="1"/>
  <c r="J54" i="1" s="1"/>
  <c r="E55" i="1"/>
  <c r="E56" i="1"/>
  <c r="F56" i="1"/>
  <c r="K56" i="1" s="1"/>
  <c r="E57" i="1"/>
  <c r="E58" i="1"/>
  <c r="E59" i="1"/>
  <c r="I59" i="1"/>
  <c r="E60" i="1"/>
  <c r="E61" i="1"/>
  <c r="E62" i="1"/>
  <c r="F62" i="1" s="1"/>
  <c r="E63" i="1"/>
  <c r="H63" i="1"/>
  <c r="I63" i="1"/>
  <c r="E64" i="1"/>
  <c r="G64" i="1"/>
  <c r="E65" i="1"/>
  <c r="H65" i="1" s="1"/>
  <c r="E66" i="1"/>
  <c r="E67" i="1"/>
  <c r="I67" i="1"/>
  <c r="E68" i="1"/>
  <c r="E69" i="1"/>
  <c r="I69" i="1" s="1"/>
  <c r="E70" i="1"/>
  <c r="E71" i="1"/>
  <c r="I71" i="1"/>
  <c r="E72" i="1"/>
  <c r="E73" i="1"/>
  <c r="G73" i="1"/>
  <c r="E74" i="1"/>
  <c r="F74" i="1"/>
  <c r="K74" i="1" s="1"/>
  <c r="E75" i="1"/>
  <c r="E76" i="1"/>
  <c r="E77" i="1"/>
  <c r="E78" i="1"/>
  <c r="I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3" i="1"/>
  <c r="D3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F15" i="1"/>
  <c r="J15" i="1" s="1"/>
  <c r="I66" i="1"/>
  <c r="I76" i="1"/>
  <c r="F76" i="1"/>
  <c r="K76" i="1" s="1"/>
  <c r="H42" i="1"/>
  <c r="I7" i="1"/>
  <c r="H31" i="1"/>
  <c r="G67" i="1"/>
  <c r="H67" i="1"/>
  <c r="F67" i="1"/>
  <c r="K67" i="1" s="1"/>
  <c r="G10" i="1"/>
  <c r="H58" i="1"/>
  <c r="G58" i="1"/>
  <c r="H23" i="1"/>
  <c r="G23" i="1"/>
  <c r="H39" i="1"/>
  <c r="F31" i="1"/>
  <c r="J31" i="1" s="1"/>
  <c r="I31" i="1"/>
  <c r="H10" i="1"/>
  <c r="F29" i="1"/>
  <c r="J29" i="1" s="1"/>
  <c r="I29" i="1"/>
  <c r="H29" i="1"/>
  <c r="G63" i="1"/>
  <c r="H15" i="1"/>
  <c r="I15" i="1"/>
  <c r="G24" i="1"/>
  <c r="G50" i="1"/>
  <c r="G42" i="1"/>
  <c r="F42" i="1"/>
  <c r="K42" i="1" s="1"/>
  <c r="I58" i="1"/>
  <c r="F58" i="1"/>
  <c r="K58" i="1" s="1"/>
  <c r="H32" i="1"/>
  <c r="F10" i="1"/>
  <c r="K10" i="1" s="1"/>
  <c r="I10" i="1"/>
  <c r="H28" i="1"/>
  <c r="F28" i="1"/>
  <c r="K28" i="1" s="1"/>
  <c r="F39" i="1"/>
  <c r="J39" i="1" s="1"/>
  <c r="I13" i="1"/>
  <c r="H13" i="1"/>
  <c r="F9" i="1"/>
  <c r="L9" i="1" s="1"/>
  <c r="F8" i="1"/>
  <c r="K8" i="1" s="1"/>
  <c r="G15" i="1"/>
  <c r="G7" i="1"/>
  <c r="H7" i="1"/>
  <c r="H73" i="1"/>
  <c r="I8" i="1"/>
  <c r="H38" i="1"/>
  <c r="G57" i="1"/>
  <c r="F73" i="1"/>
  <c r="L73" i="1" s="1"/>
  <c r="O73" i="1" s="1"/>
  <c r="I41" i="1"/>
  <c r="H41" i="1"/>
  <c r="I73" i="1"/>
  <c r="F38" i="1"/>
  <c r="J38" i="1" s="1"/>
  <c r="I57" i="1"/>
  <c r="G8" i="1"/>
  <c r="H22" i="1"/>
  <c r="G22" i="1"/>
  <c r="I14" i="1"/>
  <c r="I18" i="1"/>
  <c r="G18" i="1"/>
  <c r="H18" i="1"/>
  <c r="H4" i="1"/>
  <c r="G4" i="1"/>
  <c r="I12" i="1"/>
  <c r="F13" i="1"/>
  <c r="J13" i="1" s="1"/>
  <c r="G13" i="1"/>
  <c r="I5" i="1"/>
  <c r="H5" i="1"/>
  <c r="F5" i="1"/>
  <c r="J5" i="1" s="1"/>
  <c r="F41" i="1"/>
  <c r="L41" i="1" s="1"/>
  <c r="O41" i="1" s="1"/>
  <c r="P41" i="1" s="1"/>
  <c r="H56" i="1"/>
  <c r="I56" i="1"/>
  <c r="G41" i="1"/>
  <c r="I26" i="1"/>
  <c r="H26" i="1"/>
  <c r="H72" i="1"/>
  <c r="I65" i="1"/>
  <c r="G65" i="1"/>
  <c r="I6" i="1"/>
  <c r="F4" i="1"/>
  <c r="K4" i="1" s="1"/>
  <c r="G71" i="1"/>
  <c r="G72" i="1"/>
  <c r="F78" i="1"/>
  <c r="J78" i="1" s="1"/>
  <c r="G78" i="1"/>
  <c r="H64" i="1"/>
  <c r="I64" i="1"/>
  <c r="F64" i="1"/>
  <c r="K64" i="1" s="1"/>
  <c r="I35" i="1"/>
  <c r="F35" i="1"/>
  <c r="K35" i="1" s="1"/>
  <c r="G35" i="1"/>
  <c r="F11" i="1"/>
  <c r="K11" i="1" s="1"/>
  <c r="H76" i="1"/>
  <c r="G76" i="1"/>
  <c r="H40" i="1"/>
  <c r="H78" i="1"/>
  <c r="H35" i="1"/>
  <c r="H71" i="1"/>
  <c r="I33" i="1"/>
  <c r="I40" i="1"/>
  <c r="G26" i="1"/>
  <c r="G56" i="1"/>
  <c r="H49" i="1"/>
  <c r="G49" i="1"/>
  <c r="I49" i="1"/>
  <c r="G20" i="1"/>
  <c r="F20" i="1"/>
  <c r="K20" i="1" s="1"/>
  <c r="F71" i="1"/>
  <c r="J71" i="1" s="1"/>
  <c r="F65" i="1"/>
  <c r="L65" i="1" s="1"/>
  <c r="O65" i="1" s="1"/>
  <c r="P65" i="1" s="1"/>
  <c r="F40" i="1"/>
  <c r="K40" i="1" s="1"/>
  <c r="I11" i="1"/>
  <c r="F61" i="1"/>
  <c r="G61" i="1"/>
  <c r="I61" i="1"/>
  <c r="H61" i="1"/>
  <c r="G53" i="1"/>
  <c r="H53" i="1"/>
  <c r="H27" i="1"/>
  <c r="I27" i="1"/>
  <c r="F27" i="1"/>
  <c r="K27" i="1" s="1"/>
  <c r="H60" i="1"/>
  <c r="G60" i="1"/>
  <c r="G54" i="1"/>
  <c r="I54" i="1"/>
  <c r="H54" i="1"/>
  <c r="I60" i="1"/>
  <c r="F52" i="1"/>
  <c r="K52" i="1" s="1"/>
  <c r="H52" i="1"/>
  <c r="H68" i="1"/>
  <c r="H46" i="1"/>
  <c r="G46" i="1"/>
  <c r="I34" i="1"/>
  <c r="H34" i="1"/>
  <c r="G34" i="1"/>
  <c r="F34" i="1"/>
  <c r="K34" i="1" s="1"/>
  <c r="F60" i="1"/>
  <c r="K60" i="1" s="1"/>
  <c r="F63" i="1"/>
  <c r="J63" i="1" s="1"/>
  <c r="F47" i="1"/>
  <c r="J47" i="1" s="1"/>
  <c r="I47" i="1"/>
  <c r="H47" i="1"/>
  <c r="G47" i="1"/>
  <c r="I28" i="1"/>
  <c r="G28" i="1"/>
  <c r="H20" i="1"/>
  <c r="I20" i="1"/>
  <c r="I22" i="1"/>
  <c r="F23" i="1"/>
  <c r="J23" i="1" s="1"/>
  <c r="I23" i="1"/>
  <c r="H66" i="1"/>
  <c r="F66" i="1"/>
  <c r="K66" i="1" s="1"/>
  <c r="G66" i="1"/>
  <c r="H33" i="1"/>
  <c r="G33" i="1"/>
  <c r="F26" i="1"/>
  <c r="K26" i="1" s="1"/>
  <c r="Y7" i="1"/>
  <c r="X42" i="1"/>
  <c r="AB42" i="1"/>
  <c r="AE42" i="1"/>
  <c r="AG42" i="1" s="1"/>
  <c r="AH42" i="1" s="1"/>
  <c r="AF42" i="1"/>
  <c r="AA6" i="1"/>
  <c r="Y19" i="1"/>
  <c r="AA20" i="1"/>
  <c r="AA27" i="1"/>
  <c r="Y41" i="1"/>
  <c r="AA51" i="1"/>
  <c r="AA59" i="1"/>
  <c r="AA73" i="1"/>
  <c r="Y75" i="1"/>
  <c r="X14" i="1"/>
  <c r="Z39" i="1"/>
  <c r="Y14" i="1"/>
  <c r="AB21" i="1"/>
  <c r="Z43" i="1"/>
  <c r="Z14" i="1"/>
  <c r="AA43" i="1"/>
  <c r="Y52" i="1"/>
  <c r="Z64" i="1"/>
  <c r="X6" i="1"/>
  <c r="AB6" i="1"/>
  <c r="Z32" i="1"/>
  <c r="Y6" i="1"/>
  <c r="Z7" i="1"/>
  <c r="Y20" i="1"/>
  <c r="Y27" i="1"/>
  <c r="Y51" i="1"/>
  <c r="AA52" i="1"/>
  <c r="Y59" i="1"/>
  <c r="Y73" i="1"/>
  <c r="AB78" i="1"/>
  <c r="AE78" i="1"/>
  <c r="Y43" i="1"/>
  <c r="X7" i="1"/>
  <c r="Z52" i="1"/>
  <c r="Z27" i="1"/>
  <c r="Z51" i="1"/>
  <c r="Z59" i="1"/>
  <c r="Z73" i="1"/>
  <c r="AA9" i="1"/>
  <c r="Z9" i="1"/>
  <c r="Y9" i="1"/>
  <c r="X9" i="1"/>
  <c r="AA26" i="1"/>
  <c r="Y77" i="1"/>
  <c r="Z77" i="1"/>
  <c r="Z66" i="1"/>
  <c r="AA66" i="1"/>
  <c r="Y66" i="1"/>
  <c r="AA68" i="1"/>
  <c r="Y68" i="1"/>
  <c r="AB68" i="1"/>
  <c r="AE68" i="1" s="1"/>
  <c r="AG68" i="1" s="1"/>
  <c r="AH68" i="1" s="1"/>
  <c r="X77" i="1"/>
  <c r="AB77" i="1"/>
  <c r="AE77" i="1"/>
  <c r="AA15" i="1"/>
  <c r="Z15" i="1"/>
  <c r="X15" i="1"/>
  <c r="Y15" i="1"/>
  <c r="AA37" i="1"/>
  <c r="X56" i="1"/>
  <c r="AB56" i="1"/>
  <c r="AE56" i="1"/>
  <c r="Y56" i="1"/>
  <c r="X66" i="1"/>
  <c r="AB66" i="1"/>
  <c r="AE66" i="1" s="1"/>
  <c r="AG66" i="1" s="1"/>
  <c r="AH66" i="1" s="1"/>
  <c r="AF73" i="1"/>
  <c r="AG73" i="1"/>
  <c r="AH73" i="1" s="1"/>
  <c r="Y8" i="1"/>
  <c r="AA8" i="1"/>
  <c r="AF43" i="1"/>
  <c r="Z45" i="1"/>
  <c r="Z5" i="1"/>
  <c r="Y5" i="1"/>
  <c r="AB5" i="1"/>
  <c r="AE5" i="1" s="1"/>
  <c r="AG5" i="1" s="1"/>
  <c r="Y13" i="1"/>
  <c r="Z13" i="1"/>
  <c r="AA55" i="1"/>
  <c r="Y55" i="1"/>
  <c r="Z55" i="1"/>
  <c r="X8" i="1"/>
  <c r="AA25" i="1"/>
  <c r="Z25" i="1"/>
  <c r="Y25" i="1"/>
  <c r="AB45" i="1"/>
  <c r="AE45" i="1"/>
  <c r="AF45" i="1" s="1"/>
  <c r="AG51" i="1"/>
  <c r="AH51" i="1" s="1"/>
  <c r="AF51" i="1"/>
  <c r="Z8" i="1"/>
  <c r="X25" i="1"/>
  <c r="X23" i="1"/>
  <c r="AB23" i="1"/>
  <c r="AE23" i="1" s="1"/>
  <c r="X34" i="1"/>
  <c r="AB34" i="1"/>
  <c r="AE34" i="1"/>
  <c r="AA36" i="1"/>
  <c r="Z36" i="1"/>
  <c r="Z47" i="1"/>
  <c r="AB47" i="1"/>
  <c r="AE47" i="1" s="1"/>
  <c r="AG47" i="1"/>
  <c r="AH47" i="1" s="1"/>
  <c r="X58" i="1"/>
  <c r="AB58" i="1"/>
  <c r="AE58" i="1" s="1"/>
  <c r="AG58" i="1" s="1"/>
  <c r="AH58" i="1" s="1"/>
  <c r="AA17" i="1"/>
  <c r="AA28" i="1"/>
  <c r="X32" i="1"/>
  <c r="Y32" i="1"/>
  <c r="X64" i="1"/>
  <c r="AB64" i="1"/>
  <c r="AE64" i="1"/>
  <c r="AF64" i="1" s="1"/>
  <c r="Y64" i="1"/>
  <c r="X17" i="1"/>
  <c r="AB17" i="1"/>
  <c r="X28" i="1"/>
  <c r="Y29" i="1"/>
  <c r="Z29" i="1"/>
  <c r="Z50" i="1"/>
  <c r="AA50" i="1"/>
  <c r="AA58" i="1"/>
  <c r="Y16" i="1"/>
  <c r="AB69" i="1"/>
  <c r="AE69" i="1"/>
  <c r="X10" i="1"/>
  <c r="Y17" i="1"/>
  <c r="X29" i="1"/>
  <c r="X39" i="1"/>
  <c r="AB39" i="1"/>
  <c r="AE39" i="1" s="1"/>
  <c r="AG39" i="1" s="1"/>
  <c r="AH39" i="1" s="1"/>
  <c r="AF39" i="1"/>
  <c r="X40" i="1"/>
  <c r="AB40" i="1"/>
  <c r="AE40" i="1" s="1"/>
  <c r="AG40" i="1" s="1"/>
  <c r="AH40" i="1" s="1"/>
  <c r="Y40" i="1"/>
  <c r="X50" i="1"/>
  <c r="AB50" i="1"/>
  <c r="AE50" i="1" s="1"/>
  <c r="AF50" i="1" s="1"/>
  <c r="AB61" i="1"/>
  <c r="AE61" i="1" s="1"/>
  <c r="X71" i="1"/>
  <c r="AB71" i="1"/>
  <c r="AE71" i="1" s="1"/>
  <c r="AF71" i="1" s="1"/>
  <c r="AG71" i="1"/>
  <c r="AH71" i="1" s="1"/>
  <c r="Y72" i="1"/>
  <c r="Y10" i="1"/>
  <c r="AA29" i="1"/>
  <c r="Y39" i="1"/>
  <c r="Z42" i="1"/>
  <c r="AA42" i="1"/>
  <c r="Y50" i="1"/>
  <c r="Y71" i="1"/>
  <c r="Z72" i="1"/>
  <c r="AG45" i="1"/>
  <c r="AH45" i="1"/>
  <c r="AB16" i="1"/>
  <c r="AB10" i="1"/>
  <c r="AE17" i="1"/>
  <c r="AF17" i="1" s="1"/>
  <c r="AF68" i="1"/>
  <c r="AE6" i="1"/>
  <c r="AG6" i="1" s="1"/>
  <c r="AH6" i="1" s="1"/>
  <c r="AB7" i="1"/>
  <c r="AB29" i="1"/>
  <c r="AB32" i="1"/>
  <c r="AB8" i="1"/>
  <c r="AE8" i="1" s="1"/>
  <c r="AB25" i="1"/>
  <c r="AB26" i="1"/>
  <c r="AE26" i="1" s="1"/>
  <c r="AF26" i="1" s="1"/>
  <c r="F59" i="1"/>
  <c r="K59" i="1" s="1"/>
  <c r="G59" i="1"/>
  <c r="H59" i="1"/>
  <c r="Z31" i="1"/>
  <c r="X31" i="1"/>
  <c r="AB11" i="1"/>
  <c r="Z35" i="1"/>
  <c r="Y35" i="1"/>
  <c r="X46" i="1"/>
  <c r="AB46" i="1"/>
  <c r="AE46" i="1"/>
  <c r="Z46" i="1"/>
  <c r="Y46" i="1"/>
  <c r="AA32" i="1"/>
  <c r="AA14" i="1"/>
  <c r="Z17" i="1"/>
  <c r="X22" i="1"/>
  <c r="Z30" i="1"/>
  <c r="AE25" i="1"/>
  <c r="AG25" i="1" s="1"/>
  <c r="AH25" i="1" s="1"/>
  <c r="AG17" i="1"/>
  <c r="AH17" i="1" s="1"/>
  <c r="AE16" i="1"/>
  <c r="AG16" i="1"/>
  <c r="AH16" i="1" s="1"/>
  <c r="AB31" i="1"/>
  <c r="AE31" i="1" s="1"/>
  <c r="AF31" i="1" s="1"/>
  <c r="X67" i="1"/>
  <c r="AB67" i="1"/>
  <c r="AE67" i="1"/>
  <c r="AA67" i="1"/>
  <c r="Z67" i="1"/>
  <c r="Y67" i="1"/>
  <c r="Y49" i="1"/>
  <c r="X49" i="1"/>
  <c r="AB49" i="1"/>
  <c r="AE49" i="1" s="1"/>
  <c r="AF49" i="1"/>
  <c r="Z60" i="1"/>
  <c r="X60" i="1"/>
  <c r="AB60" i="1"/>
  <c r="AE60" i="1" s="1"/>
  <c r="AA60" i="1"/>
  <c r="Y60" i="1"/>
  <c r="AA63" i="1"/>
  <c r="Z63" i="1"/>
  <c r="X63" i="1"/>
  <c r="AB63" i="1"/>
  <c r="AE63" i="1" s="1"/>
  <c r="Y63" i="1"/>
  <c r="AB57" i="1"/>
  <c r="AE57" i="1"/>
  <c r="AF57" i="1" s="1"/>
  <c r="AA57" i="1"/>
  <c r="AB15" i="1"/>
  <c r="AE15" i="1" s="1"/>
  <c r="AF15" i="1" s="1"/>
  <c r="Y76" i="1"/>
  <c r="Z76" i="1"/>
  <c r="X76" i="1"/>
  <c r="AB76" i="1"/>
  <c r="AE76" i="1" s="1"/>
  <c r="AF76" i="1" s="1"/>
  <c r="AB18" i="1"/>
  <c r="X74" i="1"/>
  <c r="AB74" i="1"/>
  <c r="AE74" i="1" s="1"/>
  <c r="Y74" i="1"/>
  <c r="Z74" i="1"/>
  <c r="AA74" i="1"/>
  <c r="AB9" i="1"/>
  <c r="AB24" i="1"/>
  <c r="Z38" i="1"/>
  <c r="AA38" i="1"/>
  <c r="Y38" i="1"/>
  <c r="AA76" i="1"/>
  <c r="AG56" i="1"/>
  <c r="AH56" i="1" s="1"/>
  <c r="AF56" i="1"/>
  <c r="AB13" i="1"/>
  <c r="AE13" i="1" s="1"/>
  <c r="AF13" i="1" s="1"/>
  <c r="AB19" i="1"/>
  <c r="AE19" i="1" s="1"/>
  <c r="X33" i="1"/>
  <c r="AB33" i="1"/>
  <c r="AE33" i="1" s="1"/>
  <c r="AF33" i="1" s="1"/>
  <c r="Y33" i="1"/>
  <c r="AA30" i="1"/>
  <c r="Y30" i="1"/>
  <c r="X30" i="1"/>
  <c r="Z10" i="1"/>
  <c r="AA10" i="1"/>
  <c r="AB27" i="1"/>
  <c r="AE27" i="1" s="1"/>
  <c r="AG27" i="1" s="1"/>
  <c r="AH27" i="1" s="1"/>
  <c r="Y70" i="1"/>
  <c r="X70" i="1"/>
  <c r="AB70" i="1"/>
  <c r="AE70" i="1" s="1"/>
  <c r="X65" i="1"/>
  <c r="AB65" i="1"/>
  <c r="AE65" i="1"/>
  <c r="Z70" i="1"/>
  <c r="AB20" i="1"/>
  <c r="AE20" i="1" s="1"/>
  <c r="X54" i="1"/>
  <c r="AB54" i="1"/>
  <c r="AE54" i="1" s="1"/>
  <c r="AF54" i="1" s="1"/>
  <c r="Y62" i="1"/>
  <c r="AA62" i="1"/>
  <c r="Z22" i="1"/>
  <c r="AA19" i="1"/>
  <c r="X35" i="1"/>
  <c r="AB35" i="1"/>
  <c r="AE35" i="1" s="1"/>
  <c r="AG35" i="1" s="1"/>
  <c r="AH35" i="1" s="1"/>
  <c r="X41" i="1"/>
  <c r="AB41" i="1"/>
  <c r="AE41" i="1" s="1"/>
  <c r="AG41" i="1" s="1"/>
  <c r="AH41" i="1" s="1"/>
  <c r="Z75" i="1"/>
  <c r="AE18" i="1"/>
  <c r="AF18" i="1" s="1"/>
  <c r="AE24" i="1"/>
  <c r="AG24" i="1" s="1"/>
  <c r="AH24" i="1" s="1"/>
  <c r="AG76" i="1"/>
  <c r="AH76" i="1" s="1"/>
  <c r="AB12" i="1"/>
  <c r="AG15" i="1"/>
  <c r="F70" i="1"/>
  <c r="J70" i="1" s="1"/>
  <c r="H70" i="1"/>
  <c r="I70" i="1"/>
  <c r="AA78" i="1"/>
  <c r="Y78" i="1"/>
  <c r="G70" i="1"/>
  <c r="G17" i="1"/>
  <c r="F44" i="1"/>
  <c r="F24" i="1"/>
  <c r="H24" i="1"/>
  <c r="Y3" i="1"/>
  <c r="Z3" i="1"/>
  <c r="AA3" i="1"/>
  <c r="I43" i="1"/>
  <c r="Z78" i="1"/>
  <c r="G43" i="1"/>
  <c r="X16" i="1"/>
  <c r="Z16" i="1"/>
  <c r="Z28" i="1"/>
  <c r="Y28" i="1"/>
  <c r="Z34" i="1"/>
  <c r="AA34" i="1"/>
  <c r="AA13" i="1"/>
  <c r="AE7" i="1"/>
  <c r="AG7" i="1" s="1"/>
  <c r="AH7" i="1" s="1"/>
  <c r="AA16" i="1"/>
  <c r="AF36" i="1"/>
  <c r="Y31" i="1"/>
  <c r="AA31" i="1"/>
  <c r="F37" i="1"/>
  <c r="J37" i="1" s="1"/>
  <c r="I37" i="1"/>
  <c r="H37" i="1"/>
  <c r="G37" i="1"/>
  <c r="I17" i="1"/>
  <c r="F17" i="1"/>
  <c r="L17" i="1" s="1"/>
  <c r="I50" i="1"/>
  <c r="H50" i="1"/>
  <c r="F50" i="1"/>
  <c r="Z44" i="1"/>
  <c r="X44" i="1"/>
  <c r="AB44" i="1"/>
  <c r="AE44" i="1" s="1"/>
  <c r="AG44" i="1" s="1"/>
  <c r="AH44" i="1" s="1"/>
  <c r="Y44" i="1"/>
  <c r="I44" i="1"/>
  <c r="I62" i="1"/>
  <c r="G62" i="1"/>
  <c r="AA65" i="1"/>
  <c r="Z65" i="1"/>
  <c r="AG18" i="1"/>
  <c r="G14" i="1"/>
  <c r="F14" i="1"/>
  <c r="AA33" i="1"/>
  <c r="Z33" i="1"/>
  <c r="X45" i="1"/>
  <c r="AA45" i="1"/>
  <c r="AF16" i="1"/>
  <c r="AG52" i="1"/>
  <c r="AH52" i="1" s="1"/>
  <c r="AA49" i="1"/>
  <c r="AA44" i="1"/>
  <c r="AF58" i="1"/>
  <c r="X13" i="1"/>
  <c r="H62" i="1"/>
  <c r="F7" i="1"/>
  <c r="J7" i="1" s="1"/>
  <c r="G55" i="1"/>
  <c r="I55" i="1"/>
  <c r="F55" i="1"/>
  <c r="J55" i="1" s="1"/>
  <c r="H55" i="1"/>
  <c r="G48" i="1"/>
  <c r="F48" i="1"/>
  <c r="H48" i="1"/>
  <c r="I48" i="1"/>
  <c r="G21" i="1"/>
  <c r="F21" i="1"/>
  <c r="J21" i="1" s="1"/>
  <c r="H21" i="1"/>
  <c r="I21" i="1"/>
  <c r="G6" i="1"/>
  <c r="F6" i="1"/>
  <c r="J6" i="1" s="1"/>
  <c r="H6" i="1"/>
  <c r="Z18" i="1"/>
  <c r="Y18" i="1"/>
  <c r="X18" i="1"/>
  <c r="AA18" i="1"/>
  <c r="X21" i="1"/>
  <c r="Y21" i="1"/>
  <c r="Z21" i="1"/>
  <c r="AA40" i="1"/>
  <c r="Z40" i="1"/>
  <c r="Z62" i="1"/>
  <c r="X62" i="1"/>
  <c r="AB62" i="1"/>
  <c r="AE62" i="1" s="1"/>
  <c r="AB30" i="1"/>
  <c r="AE30" i="1" s="1"/>
  <c r="AE9" i="1"/>
  <c r="F30" i="1"/>
  <c r="I30" i="1"/>
  <c r="H30" i="1"/>
  <c r="I9" i="1"/>
  <c r="AG57" i="1"/>
  <c r="AH57" i="1" s="1"/>
  <c r="G69" i="1"/>
  <c r="F69" i="1"/>
  <c r="H69" i="1"/>
  <c r="G36" i="1"/>
  <c r="I36" i="1"/>
  <c r="H36" i="1"/>
  <c r="F16" i="1"/>
  <c r="K16" i="1" s="1"/>
  <c r="H16" i="1"/>
  <c r="I16" i="1"/>
  <c r="AA11" i="1"/>
  <c r="Z11" i="1"/>
  <c r="X11" i="1"/>
  <c r="Y11" i="1"/>
  <c r="Z57" i="1"/>
  <c r="Y57" i="1"/>
  <c r="F36" i="1"/>
  <c r="K36" i="1" s="1"/>
  <c r="AA54" i="1"/>
  <c r="Z54" i="1"/>
  <c r="Y61" i="1"/>
  <c r="X61" i="1"/>
  <c r="Z61" i="1"/>
  <c r="AA61" i="1"/>
  <c r="X69" i="1"/>
  <c r="AA69" i="1"/>
  <c r="AG33" i="1"/>
  <c r="AH33" i="1" s="1"/>
  <c r="AE10" i="1"/>
  <c r="G74" i="1"/>
  <c r="H74" i="1"/>
  <c r="I74" i="1"/>
  <c r="Z12" i="1"/>
  <c r="AA12" i="1"/>
  <c r="Y12" i="1"/>
  <c r="Y24" i="1"/>
  <c r="Z24" i="1"/>
  <c r="AA24" i="1"/>
  <c r="X36" i="1"/>
  <c r="Y36" i="1"/>
  <c r="AF46" i="1"/>
  <c r="AG46" i="1"/>
  <c r="AH46" i="1" s="1"/>
  <c r="Q65" i="1"/>
  <c r="R65" i="1"/>
  <c r="Y69" i="1"/>
  <c r="X78" i="1"/>
  <c r="X3" i="1"/>
  <c r="H9" i="1"/>
  <c r="F43" i="1"/>
  <c r="H44" i="1"/>
  <c r="Y34" i="1"/>
  <c r="Y37" i="1"/>
  <c r="Z37" i="1"/>
  <c r="X37" i="1"/>
  <c r="AB37" i="1"/>
  <c r="AE37" i="1"/>
  <c r="AF37" i="1" s="1"/>
  <c r="H77" i="1"/>
  <c r="F77" i="1"/>
  <c r="J77" i="1" s="1"/>
  <c r="G77" i="1"/>
  <c r="I77" i="1"/>
  <c r="F12" i="1"/>
  <c r="H12" i="1"/>
  <c r="G12" i="1"/>
  <c r="AA23" i="1"/>
  <c r="Z23" i="1"/>
  <c r="Y23" i="1"/>
  <c r="AA71" i="1"/>
  <c r="Z71" i="1"/>
  <c r="I53" i="1"/>
  <c r="F53" i="1"/>
  <c r="F46" i="1"/>
  <c r="I46" i="1"/>
  <c r="I39" i="1"/>
  <c r="G39" i="1"/>
  <c r="I32" i="1"/>
  <c r="F32" i="1"/>
  <c r="G32" i="1"/>
  <c r="I19" i="1"/>
  <c r="H11" i="1"/>
  <c r="G11" i="1"/>
  <c r="Z20" i="1"/>
  <c r="X20" i="1"/>
  <c r="X26" i="1"/>
  <c r="Y26" i="1"/>
  <c r="Z26" i="1"/>
  <c r="Y47" i="1"/>
  <c r="X47" i="1"/>
  <c r="AA47" i="1"/>
  <c r="AA56" i="1"/>
  <c r="Z56" i="1"/>
  <c r="F57" i="1"/>
  <c r="H57" i="1"/>
  <c r="I52" i="1"/>
  <c r="G52" i="1"/>
  <c r="F45" i="1"/>
  <c r="G45" i="1"/>
  <c r="I38" i="1"/>
  <c r="G38" i="1"/>
  <c r="H25" i="1"/>
  <c r="I4" i="1"/>
  <c r="X5" i="1"/>
  <c r="AA5" i="1"/>
  <c r="X68" i="1"/>
  <c r="Z68" i="1"/>
  <c r="AA72" i="1"/>
  <c r="X72" i="1"/>
  <c r="AB72" i="1"/>
  <c r="AE72" i="1" s="1"/>
  <c r="AF72" i="1" s="1"/>
  <c r="AG54" i="1"/>
  <c r="AH54" i="1" s="1"/>
  <c r="AG9" i="1"/>
  <c r="X53" i="1"/>
  <c r="AB53" i="1"/>
  <c r="AE53" i="1"/>
  <c r="AG53" i="1" s="1"/>
  <c r="AH53" i="1" s="1"/>
  <c r="AA53" i="1"/>
  <c r="Z53" i="1"/>
  <c r="Y53" i="1"/>
  <c r="AB14" i="1"/>
  <c r="X4" i="1"/>
  <c r="Z4" i="1"/>
  <c r="AA4" i="1"/>
  <c r="Y4" i="1"/>
  <c r="AG49" i="1"/>
  <c r="AH49" i="1" s="1"/>
  <c r="AF5" i="1"/>
  <c r="AF67" i="1"/>
  <c r="AG67" i="1"/>
  <c r="AH67" i="1" s="1"/>
  <c r="AB28" i="1"/>
  <c r="AE29" i="1"/>
  <c r="AG72" i="1"/>
  <c r="AH72" i="1" s="1"/>
  <c r="Z48" i="1"/>
  <c r="AA48" i="1"/>
  <c r="X48" i="1"/>
  <c r="AB48" i="1"/>
  <c r="AE48" i="1" s="1"/>
  <c r="Y48" i="1"/>
  <c r="AF65" i="1"/>
  <c r="AG65" i="1"/>
  <c r="AH65" i="1"/>
  <c r="AF9" i="1"/>
  <c r="AG20" i="1"/>
  <c r="AF20" i="1"/>
  <c r="AF77" i="1"/>
  <c r="AG77" i="1"/>
  <c r="AH77" i="1" s="1"/>
  <c r="AG31" i="1"/>
  <c r="AF6" i="1"/>
  <c r="AE21" i="1"/>
  <c r="AG21" i="1" s="1"/>
  <c r="AH21" i="1" s="1"/>
  <c r="AG23" i="1"/>
  <c r="AH23" i="1" s="1"/>
  <c r="AF23" i="1"/>
  <c r="AG78" i="1"/>
  <c r="AH78" i="1"/>
  <c r="AF78" i="1"/>
  <c r="AE32" i="1"/>
  <c r="AF47" i="1"/>
  <c r="AB22" i="1"/>
  <c r="AE22" i="1" s="1"/>
  <c r="AE11" i="1"/>
  <c r="AG11" i="1" s="1"/>
  <c r="AH11" i="1" s="1"/>
  <c r="AG34" i="1"/>
  <c r="AH34" i="1" s="1"/>
  <c r="AF34" i="1"/>
  <c r="AA21" i="1"/>
  <c r="AA22" i="1"/>
  <c r="Y22" i="1"/>
  <c r="O9" i="1"/>
  <c r="AB3" i="1"/>
  <c r="AH18" i="1"/>
  <c r="AF62" i="1"/>
  <c r="AG62" i="1"/>
  <c r="AH62" i="1" s="1"/>
  <c r="AF44" i="1"/>
  <c r="AG10" i="1"/>
  <c r="AH10" i="1" s="1"/>
  <c r="AF10" i="1"/>
  <c r="AG19" i="1"/>
  <c r="AH15" i="1"/>
  <c r="AF7" i="1"/>
  <c r="AF19" i="1"/>
  <c r="AE12" i="1"/>
  <c r="AH20" i="1"/>
  <c r="AG29" i="1"/>
  <c r="AF29" i="1"/>
  <c r="AB4" i="1"/>
  <c r="AE4" i="1" s="1"/>
  <c r="AE28" i="1"/>
  <c r="AF28" i="1" s="1"/>
  <c r="AG30" i="1"/>
  <c r="AH30" i="1" s="1"/>
  <c r="AF30" i="1"/>
  <c r="AH5" i="1"/>
  <c r="AE14" i="1"/>
  <c r="AG32" i="1"/>
  <c r="AF32" i="1"/>
  <c r="AH9" i="1"/>
  <c r="AH31" i="1"/>
  <c r="AE3" i="1"/>
  <c r="AG3" i="1" s="1"/>
  <c r="AH3" i="1" s="1"/>
  <c r="AH19" i="1"/>
  <c r="O17" i="1"/>
  <c r="P17" i="1" s="1"/>
  <c r="AG12" i="1"/>
  <c r="AH12" i="1" s="1"/>
  <c r="AF12" i="1"/>
  <c r="P9" i="1"/>
  <c r="Q9" i="1"/>
  <c r="R9" i="1" s="1"/>
  <c r="AH32" i="1"/>
  <c r="AH29" i="1"/>
  <c r="AF14" i="1"/>
  <c r="AG14" i="1"/>
  <c r="Q17" i="1"/>
  <c r="R17" i="1" s="1"/>
  <c r="AF3" i="1"/>
  <c r="AH14" i="1"/>
  <c r="AG22" i="1" l="1"/>
  <c r="AH22" i="1" s="1"/>
  <c r="AF22" i="1"/>
  <c r="AF4" i="1"/>
  <c r="AG4" i="1"/>
  <c r="AH4" i="1" s="1"/>
  <c r="AF48" i="1"/>
  <c r="AG48" i="1"/>
  <c r="AH48" i="1" s="1"/>
  <c r="AF38" i="1"/>
  <c r="AG38" i="1"/>
  <c r="AH38" i="1" s="1"/>
  <c r="AG37" i="1"/>
  <c r="AH37" i="1" s="1"/>
  <c r="AF66" i="1"/>
  <c r="AG63" i="1"/>
  <c r="AH63" i="1" s="1"/>
  <c r="AF63" i="1"/>
  <c r="I68" i="1"/>
  <c r="F68" i="1"/>
  <c r="G68" i="1"/>
  <c r="H45" i="1"/>
  <c r="I45" i="1"/>
  <c r="J22" i="1"/>
  <c r="K22" i="1"/>
  <c r="L22" i="1"/>
  <c r="O22" i="1" s="1"/>
  <c r="AF55" i="1"/>
  <c r="AG55" i="1"/>
  <c r="AH55" i="1" s="1"/>
  <c r="K50" i="1"/>
  <c r="L50" i="1"/>
  <c r="O50" i="1" s="1"/>
  <c r="J50" i="1"/>
  <c r="AF69" i="1"/>
  <c r="AG69" i="1"/>
  <c r="AH69" i="1" s="1"/>
  <c r="AF40" i="1"/>
  <c r="K48" i="1"/>
  <c r="L48" i="1"/>
  <c r="O48" i="1" s="1"/>
  <c r="J48" i="1"/>
  <c r="AF53" i="1"/>
  <c r="AF21" i="1"/>
  <c r="AF41" i="1"/>
  <c r="L57" i="1"/>
  <c r="O57" i="1" s="1"/>
  <c r="J57" i="1"/>
  <c r="K57" i="1"/>
  <c r="AF74" i="1"/>
  <c r="AG74" i="1"/>
  <c r="AH74" i="1" s="1"/>
  <c r="AF61" i="1"/>
  <c r="AG61" i="1"/>
  <c r="AH61" i="1" s="1"/>
  <c r="J61" i="1"/>
  <c r="K61" i="1"/>
  <c r="L61" i="1"/>
  <c r="O61" i="1" s="1"/>
  <c r="J62" i="1"/>
  <c r="K62" i="1"/>
  <c r="L62" i="1"/>
  <c r="O62" i="1" s="1"/>
  <c r="AG75" i="1"/>
  <c r="AH75" i="1" s="1"/>
  <c r="AF75" i="1"/>
  <c r="AF35" i="1"/>
  <c r="K12" i="1"/>
  <c r="L12" i="1"/>
  <c r="O12" i="1" s="1"/>
  <c r="J12" i="1"/>
  <c r="K43" i="1"/>
  <c r="L43" i="1"/>
  <c r="O43" i="1" s="1"/>
  <c r="J43" i="1"/>
  <c r="J69" i="1"/>
  <c r="K69" i="1"/>
  <c r="L69" i="1"/>
  <c r="O69" i="1" s="1"/>
  <c r="K24" i="1"/>
  <c r="L24" i="1"/>
  <c r="O24" i="1" s="1"/>
  <c r="J24" i="1"/>
  <c r="AG13" i="1"/>
  <c r="AH13" i="1" s="1"/>
  <c r="AG50" i="1"/>
  <c r="AH50" i="1" s="1"/>
  <c r="I72" i="1"/>
  <c r="F72" i="1"/>
  <c r="P49" i="1"/>
  <c r="Q49" i="1"/>
  <c r="R49" i="1" s="1"/>
  <c r="K19" i="1"/>
  <c r="L19" i="1"/>
  <c r="O19" i="1" s="1"/>
  <c r="J19" i="1"/>
  <c r="AF59" i="1"/>
  <c r="AG59" i="1"/>
  <c r="AH59" i="1" s="1"/>
  <c r="F3" i="1"/>
  <c r="H3" i="1"/>
  <c r="I3" i="1"/>
  <c r="J30" i="1"/>
  <c r="K30" i="1"/>
  <c r="L30" i="1"/>
  <c r="O30" i="1" s="1"/>
  <c r="Q33" i="1"/>
  <c r="R33" i="1" s="1"/>
  <c r="P33" i="1"/>
  <c r="AG28" i="1"/>
  <c r="AH28" i="1" s="1"/>
  <c r="AF24" i="1"/>
  <c r="K44" i="1"/>
  <c r="L44" i="1"/>
  <c r="O44" i="1" s="1"/>
  <c r="J44" i="1"/>
  <c r="F25" i="1"/>
  <c r="I25" i="1"/>
  <c r="G25" i="1"/>
  <c r="J53" i="1"/>
  <c r="K53" i="1"/>
  <c r="L53" i="1"/>
  <c r="O53" i="1" s="1"/>
  <c r="K32" i="1"/>
  <c r="L32" i="1"/>
  <c r="O32" i="1" s="1"/>
  <c r="J32" i="1"/>
  <c r="I51" i="1"/>
  <c r="G51" i="1"/>
  <c r="H51" i="1"/>
  <c r="F51" i="1"/>
  <c r="AF11" i="1"/>
  <c r="J45" i="1"/>
  <c r="K45" i="1"/>
  <c r="L45" i="1"/>
  <c r="O45" i="1" s="1"/>
  <c r="AG26" i="1"/>
  <c r="AH26" i="1" s="1"/>
  <c r="AG70" i="1"/>
  <c r="AH70" i="1" s="1"/>
  <c r="AF70" i="1"/>
  <c r="Q41" i="1"/>
  <c r="R41" i="1" s="1"/>
  <c r="P73" i="1"/>
  <c r="Q73" i="1"/>
  <c r="R73" i="1" s="1"/>
  <c r="AF27" i="1"/>
  <c r="J46" i="1"/>
  <c r="K46" i="1"/>
  <c r="L46" i="1"/>
  <c r="O46" i="1" s="1"/>
  <c r="J14" i="1"/>
  <c r="K14" i="1"/>
  <c r="L14" i="1"/>
  <c r="O14" i="1" s="1"/>
  <c r="G3" i="1"/>
  <c r="AG60" i="1"/>
  <c r="AH60" i="1" s="1"/>
  <c r="AF60" i="1"/>
  <c r="AF8" i="1"/>
  <c r="AG8" i="1"/>
  <c r="AH8" i="1" s="1"/>
  <c r="G75" i="1"/>
  <c r="H75" i="1"/>
  <c r="I75" i="1"/>
  <c r="F75" i="1"/>
  <c r="J8" i="1"/>
  <c r="J16" i="1"/>
  <c r="J40" i="1"/>
  <c r="J56" i="1"/>
  <c r="J64" i="1"/>
  <c r="K73" i="1"/>
  <c r="K65" i="1"/>
  <c r="K49" i="1"/>
  <c r="K41" i="1"/>
  <c r="K33" i="1"/>
  <c r="K17" i="1"/>
  <c r="K9" i="1"/>
  <c r="L64" i="1"/>
  <c r="O64" i="1" s="1"/>
  <c r="L56" i="1"/>
  <c r="O56" i="1" s="1"/>
  <c r="L40" i="1"/>
  <c r="O40" i="1" s="1"/>
  <c r="L16" i="1"/>
  <c r="O16" i="1" s="1"/>
  <c r="L8" i="1"/>
  <c r="O8" i="1" s="1"/>
  <c r="AG64" i="1"/>
  <c r="AH64" i="1" s="1"/>
  <c r="H19" i="1"/>
  <c r="J9" i="1"/>
  <c r="J17" i="1"/>
  <c r="J33" i="1"/>
  <c r="J41" i="1"/>
  <c r="J49" i="1"/>
  <c r="J65" i="1"/>
  <c r="J73" i="1"/>
  <c r="L71" i="1"/>
  <c r="O71" i="1" s="1"/>
  <c r="L63" i="1"/>
  <c r="O63" i="1" s="1"/>
  <c r="L55" i="1"/>
  <c r="O55" i="1" s="1"/>
  <c r="L47" i="1"/>
  <c r="O47" i="1" s="1"/>
  <c r="L39" i="1"/>
  <c r="O39" i="1" s="1"/>
  <c r="L31" i="1"/>
  <c r="O31" i="1" s="1"/>
  <c r="L23" i="1"/>
  <c r="O23" i="1" s="1"/>
  <c r="L15" i="1"/>
  <c r="O15" i="1" s="1"/>
  <c r="L7" i="1"/>
  <c r="O7" i="1" s="1"/>
  <c r="J10" i="1"/>
  <c r="J18" i="1"/>
  <c r="J26" i="1"/>
  <c r="J34" i="1"/>
  <c r="J42" i="1"/>
  <c r="J58" i="1"/>
  <c r="J66" i="1"/>
  <c r="J74" i="1"/>
  <c r="K71" i="1"/>
  <c r="K63" i="1"/>
  <c r="K55" i="1"/>
  <c r="K47" i="1"/>
  <c r="K39" i="1"/>
  <c r="K31" i="1"/>
  <c r="K23" i="1"/>
  <c r="K15" i="1"/>
  <c r="K7" i="1"/>
  <c r="L78" i="1"/>
  <c r="O78" i="1" s="1"/>
  <c r="L70" i="1"/>
  <c r="O70" i="1" s="1"/>
  <c r="L54" i="1"/>
  <c r="O54" i="1" s="1"/>
  <c r="L38" i="1"/>
  <c r="O38" i="1" s="1"/>
  <c r="L6" i="1"/>
  <c r="O6" i="1" s="1"/>
  <c r="G19" i="1"/>
  <c r="J11" i="1"/>
  <c r="J27" i="1"/>
  <c r="J35" i="1"/>
  <c r="J59" i="1"/>
  <c r="J67" i="1"/>
  <c r="K78" i="1"/>
  <c r="K70" i="1"/>
  <c r="K54" i="1"/>
  <c r="K38" i="1"/>
  <c r="K6" i="1"/>
  <c r="L77" i="1"/>
  <c r="O77" i="1" s="1"/>
  <c r="L37" i="1"/>
  <c r="O37" i="1" s="1"/>
  <c r="L29" i="1"/>
  <c r="O29" i="1" s="1"/>
  <c r="L21" i="1"/>
  <c r="O21" i="1" s="1"/>
  <c r="L13" i="1"/>
  <c r="O13" i="1" s="1"/>
  <c r="L5" i="1"/>
  <c r="O5" i="1" s="1"/>
  <c r="J4" i="1"/>
  <c r="J20" i="1"/>
  <c r="J28" i="1"/>
  <c r="J36" i="1"/>
  <c r="J52" i="1"/>
  <c r="J60" i="1"/>
  <c r="J76" i="1"/>
  <c r="K77" i="1"/>
  <c r="K37" i="1"/>
  <c r="K29" i="1"/>
  <c r="K21" i="1"/>
  <c r="K13" i="1"/>
  <c r="K5" i="1"/>
  <c r="L76" i="1"/>
  <c r="O76" i="1" s="1"/>
  <c r="L60" i="1"/>
  <c r="O60" i="1" s="1"/>
  <c r="L52" i="1"/>
  <c r="O52" i="1" s="1"/>
  <c r="L36" i="1"/>
  <c r="O36" i="1" s="1"/>
  <c r="L28" i="1"/>
  <c r="O28" i="1" s="1"/>
  <c r="L20" i="1"/>
  <c r="O20" i="1" s="1"/>
  <c r="L4" i="1"/>
  <c r="O4" i="1" s="1"/>
  <c r="AF25" i="1"/>
  <c r="L67" i="1"/>
  <c r="O67" i="1" s="1"/>
  <c r="L59" i="1"/>
  <c r="O59" i="1" s="1"/>
  <c r="L35" i="1"/>
  <c r="O35" i="1" s="1"/>
  <c r="L27" i="1"/>
  <c r="O27" i="1" s="1"/>
  <c r="L11" i="1"/>
  <c r="O11" i="1" s="1"/>
  <c r="L74" i="1"/>
  <c r="O74" i="1" s="1"/>
  <c r="L66" i="1"/>
  <c r="O66" i="1" s="1"/>
  <c r="L58" i="1"/>
  <c r="O58" i="1" s="1"/>
  <c r="L42" i="1"/>
  <c r="O42" i="1" s="1"/>
  <c r="L34" i="1"/>
  <c r="O34" i="1" s="1"/>
  <c r="L26" i="1"/>
  <c r="O26" i="1" s="1"/>
  <c r="L18" i="1"/>
  <c r="O18" i="1" s="1"/>
  <c r="L10" i="1"/>
  <c r="O10" i="1" s="1"/>
  <c r="Q59" i="1" l="1"/>
  <c r="R59" i="1" s="1"/>
  <c r="P59" i="1"/>
  <c r="Q19" i="1"/>
  <c r="R19" i="1" s="1"/>
  <c r="P19" i="1"/>
  <c r="Q18" i="1"/>
  <c r="R18" i="1" s="1"/>
  <c r="P18" i="1"/>
  <c r="Q36" i="1"/>
  <c r="R36" i="1" s="1"/>
  <c r="P36" i="1"/>
  <c r="Q7" i="1"/>
  <c r="R7" i="1" s="1"/>
  <c r="P7" i="1"/>
  <c r="P71" i="1"/>
  <c r="Q71" i="1"/>
  <c r="R71" i="1" s="1"/>
  <c r="P50" i="1"/>
  <c r="Q50" i="1"/>
  <c r="R50" i="1" s="1"/>
  <c r="Q60" i="1"/>
  <c r="R60" i="1" s="1"/>
  <c r="P60" i="1"/>
  <c r="Q27" i="1"/>
  <c r="R27" i="1" s="1"/>
  <c r="P27" i="1"/>
  <c r="Q26" i="1"/>
  <c r="R26" i="1" s="1"/>
  <c r="P26" i="1"/>
  <c r="P35" i="1"/>
  <c r="Q35" i="1"/>
  <c r="R35" i="1" s="1"/>
  <c r="P52" i="1"/>
  <c r="Q52" i="1"/>
  <c r="R52" i="1" s="1"/>
  <c r="P5" i="1"/>
  <c r="Q5" i="1"/>
  <c r="R5" i="1" s="1"/>
  <c r="Q15" i="1"/>
  <c r="R15" i="1" s="1"/>
  <c r="P15" i="1"/>
  <c r="Q45" i="1"/>
  <c r="R45" i="1" s="1"/>
  <c r="P45" i="1"/>
  <c r="L25" i="1"/>
  <c r="O25" i="1" s="1"/>
  <c r="J25" i="1"/>
  <c r="K25" i="1"/>
  <c r="Q30" i="1"/>
  <c r="R30" i="1" s="1"/>
  <c r="P30" i="1"/>
  <c r="P43" i="1"/>
  <c r="Q43" i="1"/>
  <c r="R43" i="1" s="1"/>
  <c r="Q62" i="1"/>
  <c r="R62" i="1" s="1"/>
  <c r="P62" i="1"/>
  <c r="P13" i="1"/>
  <c r="Q13" i="1"/>
  <c r="R13" i="1" s="1"/>
  <c r="P21" i="1"/>
  <c r="Q21" i="1"/>
  <c r="R21" i="1" s="1"/>
  <c r="P31" i="1"/>
  <c r="Q31" i="1"/>
  <c r="R31" i="1" s="1"/>
  <c r="Q16" i="1"/>
  <c r="R16" i="1" s="1"/>
  <c r="P16" i="1"/>
  <c r="K75" i="1"/>
  <c r="L75" i="1"/>
  <c r="O75" i="1" s="1"/>
  <c r="J75" i="1"/>
  <c r="Q44" i="1"/>
  <c r="R44" i="1" s="1"/>
  <c r="P44" i="1"/>
  <c r="Q24" i="1"/>
  <c r="R24" i="1" s="1"/>
  <c r="P24" i="1"/>
  <c r="P32" i="1"/>
  <c r="Q32" i="1"/>
  <c r="R32" i="1" s="1"/>
  <c r="Q67" i="1"/>
  <c r="R67" i="1" s="1"/>
  <c r="P67" i="1"/>
  <c r="P38" i="1"/>
  <c r="Q38" i="1"/>
  <c r="R38" i="1" s="1"/>
  <c r="P29" i="1"/>
  <c r="Q29" i="1"/>
  <c r="R29" i="1" s="1"/>
  <c r="Q54" i="1"/>
  <c r="R54" i="1" s="1"/>
  <c r="P54" i="1"/>
  <c r="Q39" i="1"/>
  <c r="R39" i="1" s="1"/>
  <c r="P39" i="1"/>
  <c r="P40" i="1"/>
  <c r="Q40" i="1"/>
  <c r="R40" i="1" s="1"/>
  <c r="Q14" i="1"/>
  <c r="R14" i="1" s="1"/>
  <c r="P14" i="1"/>
  <c r="P53" i="1"/>
  <c r="Q53" i="1"/>
  <c r="R53" i="1" s="1"/>
  <c r="P12" i="1"/>
  <c r="Q12" i="1"/>
  <c r="R12" i="1" s="1"/>
  <c r="P61" i="1"/>
  <c r="Q61" i="1"/>
  <c r="R61" i="1" s="1"/>
  <c r="P22" i="1"/>
  <c r="Q22" i="1"/>
  <c r="R22" i="1" s="1"/>
  <c r="Q34" i="1"/>
  <c r="R34" i="1" s="1"/>
  <c r="P34" i="1"/>
  <c r="P8" i="1"/>
  <c r="Q8" i="1"/>
  <c r="R8" i="1" s="1"/>
  <c r="P58" i="1"/>
  <c r="Q58" i="1"/>
  <c r="R58" i="1" s="1"/>
  <c r="Q4" i="1"/>
  <c r="R4" i="1" s="1"/>
  <c r="P4" i="1"/>
  <c r="Q37" i="1"/>
  <c r="R37" i="1" s="1"/>
  <c r="P37" i="1"/>
  <c r="P70" i="1"/>
  <c r="Q70" i="1"/>
  <c r="R70" i="1" s="1"/>
  <c r="P47" i="1"/>
  <c r="Q47" i="1"/>
  <c r="R47" i="1" s="1"/>
  <c r="P56" i="1"/>
  <c r="Q56" i="1"/>
  <c r="R56" i="1" s="1"/>
  <c r="K51" i="1"/>
  <c r="L51" i="1"/>
  <c r="O51" i="1" s="1"/>
  <c r="J51" i="1"/>
  <c r="P69" i="1"/>
  <c r="Q69" i="1"/>
  <c r="R69" i="1" s="1"/>
  <c r="P57" i="1"/>
  <c r="Q57" i="1"/>
  <c r="R57" i="1" s="1"/>
  <c r="Q23" i="1"/>
  <c r="R23" i="1" s="1"/>
  <c r="P23" i="1"/>
  <c r="K68" i="1"/>
  <c r="L68" i="1"/>
  <c r="O68" i="1" s="1"/>
  <c r="J68" i="1"/>
  <c r="Q76" i="1"/>
  <c r="R76" i="1" s="1"/>
  <c r="P76" i="1"/>
  <c r="Q74" i="1"/>
  <c r="R74" i="1" s="1"/>
  <c r="P74" i="1"/>
  <c r="P20" i="1"/>
  <c r="Q20" i="1"/>
  <c r="R20" i="1" s="1"/>
  <c r="P77" i="1"/>
  <c r="Q77" i="1"/>
  <c r="R77" i="1" s="1"/>
  <c r="P78" i="1"/>
  <c r="Q78" i="1"/>
  <c r="R78" i="1" s="1"/>
  <c r="Q55" i="1"/>
  <c r="R55" i="1" s="1"/>
  <c r="P55" i="1"/>
  <c r="P64" i="1"/>
  <c r="Q64" i="1"/>
  <c r="R64" i="1" s="1"/>
  <c r="K3" i="1"/>
  <c r="F4" i="4" s="1"/>
  <c r="J3" i="1"/>
  <c r="L3" i="1"/>
  <c r="K72" i="1"/>
  <c r="L72" i="1"/>
  <c r="O72" i="1" s="1"/>
  <c r="J72" i="1"/>
  <c r="P6" i="1"/>
  <c r="Q6" i="1"/>
  <c r="R6" i="1" s="1"/>
  <c r="Q48" i="1"/>
  <c r="R48" i="1" s="1"/>
  <c r="P48" i="1"/>
  <c r="Q42" i="1"/>
  <c r="R42" i="1" s="1"/>
  <c r="P42" i="1"/>
  <c r="Q66" i="1"/>
  <c r="R66" i="1" s="1"/>
  <c r="P66" i="1"/>
  <c r="P10" i="1"/>
  <c r="Q10" i="1"/>
  <c r="R10" i="1" s="1"/>
  <c r="P11" i="1"/>
  <c r="Q11" i="1"/>
  <c r="R11" i="1" s="1"/>
  <c r="P28" i="1"/>
  <c r="Q28" i="1"/>
  <c r="R28" i="1" s="1"/>
  <c r="P63" i="1"/>
  <c r="Q63" i="1"/>
  <c r="R63" i="1" s="1"/>
  <c r="P46" i="1"/>
  <c r="Q46" i="1"/>
  <c r="R46" i="1" s="1"/>
  <c r="P51" i="1" l="1"/>
  <c r="Q51" i="1"/>
  <c r="R51" i="1" s="1"/>
  <c r="Q25" i="1"/>
  <c r="R25" i="1" s="1"/>
  <c r="P25" i="1"/>
  <c r="P72" i="1"/>
  <c r="Q72" i="1"/>
  <c r="R72" i="1" s="1"/>
  <c r="E4" i="4"/>
  <c r="O3" i="1"/>
  <c r="Q68" i="1"/>
  <c r="R68" i="1" s="1"/>
  <c r="P68" i="1"/>
  <c r="Q75" i="1"/>
  <c r="R75" i="1" s="1"/>
  <c r="P75" i="1"/>
  <c r="H4" i="4" l="1"/>
  <c r="Q3" i="1"/>
  <c r="R3" i="1" s="1"/>
  <c r="P3" i="1"/>
  <c r="J4" i="4" s="1"/>
</calcChain>
</file>

<file path=xl/comments1.xml><?xml version="1.0" encoding="utf-8"?>
<comments xmlns="http://schemas.openxmlformats.org/spreadsheetml/2006/main">
  <authors>
    <author>siyu</author>
  </authors>
  <commentList>
    <comment ref="I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0.035 調整為0.03</t>
        </r>
      </text>
    </comment>
    <comment ref="AA1" authorId="0" shapeId="0">
      <text>
        <r>
          <rPr>
            <sz val="9"/>
            <color indexed="81"/>
            <rFont val="新細明體"/>
            <family val="1"/>
            <charset val="136"/>
          </rPr>
          <t>2016/?/?  自上市時最小風險價格係數為3.5%</t>
        </r>
      </text>
    </comment>
  </commentList>
</comments>
</file>

<file path=xl/sharedStrings.xml><?xml version="1.0" encoding="utf-8"?>
<sst xmlns="http://schemas.openxmlformats.org/spreadsheetml/2006/main" count="47" uniqueCount="34">
  <si>
    <t>日期</t>
  </si>
  <si>
    <t>契約規格</t>
    <phoneticPr fontId="2" type="noConversion"/>
  </si>
  <si>
    <t>商品別</t>
  </si>
  <si>
    <t>TX</t>
  </si>
  <si>
    <t>當日漲跌點數
(結算價-參考價)</t>
    <phoneticPr fontId="2" type="noConversion"/>
  </si>
  <si>
    <t>30天R</t>
    <phoneticPr fontId="1" type="noConversion"/>
  </si>
  <si>
    <t>60天R</t>
    <phoneticPr fontId="1" type="noConversion"/>
  </si>
  <si>
    <t>90天R</t>
    <phoneticPr fontId="1" type="noConversion"/>
  </si>
  <si>
    <t>180天R</t>
    <phoneticPr fontId="1" type="noConversion"/>
  </si>
  <si>
    <t>契約規格</t>
    <phoneticPr fontId="2" type="noConversion"/>
  </si>
  <si>
    <t>現行結算保證金</t>
    <phoneticPr fontId="2" type="noConversion"/>
  </si>
  <si>
    <t>變動幅度</t>
    <phoneticPr fontId="1" type="noConversion"/>
  </si>
  <si>
    <r>
      <t>註：自</t>
    </r>
    <r>
      <rPr>
        <sz val="12"/>
        <color indexed="10"/>
        <rFont val="Times New Roman"/>
        <family val="1"/>
      </rPr>
      <t>99</t>
    </r>
    <r>
      <rPr>
        <sz val="12"/>
        <color indexed="10"/>
        <rFont val="細明體"/>
        <family val="3"/>
      </rPr>
      <t>年</t>
    </r>
    <r>
      <rPr>
        <sz val="12"/>
        <color indexed="10"/>
        <rFont val="Times New Roman"/>
        <family val="1"/>
      </rPr>
      <t>10</t>
    </r>
    <r>
      <rPr>
        <sz val="12"/>
        <color indexed="10"/>
        <rFont val="細明體"/>
        <family val="3"/>
      </rPr>
      <t>月</t>
    </r>
    <r>
      <rPr>
        <sz val="12"/>
        <color indexed="10"/>
        <rFont val="Times New Roman"/>
        <family val="1"/>
      </rPr>
      <t>1</t>
    </r>
    <r>
      <rPr>
        <sz val="12"/>
        <color indexed="10"/>
        <rFont val="細明體"/>
        <family val="3"/>
      </rPr>
      <t>日起，各期貨契約之報酬率改以「當日結算價」及「當日開盤參考價」計算。</t>
    </r>
    <phoneticPr fontId="2" type="noConversion"/>
  </si>
  <si>
    <t>適用風險價格係數</t>
    <phoneticPr fontId="1" type="noConversion"/>
  </si>
  <si>
    <t>本日計算結算保證金</t>
    <phoneticPr fontId="1" type="noConversion"/>
  </si>
  <si>
    <t>本日調整後結算保證金</t>
  </si>
  <si>
    <t>調整幅度</t>
  </si>
  <si>
    <t>|報酬率|</t>
  </si>
  <si>
    <t>|報酬率|</t>
    <phoneticPr fontId="1" type="noConversion"/>
  </si>
  <si>
    <t>BTF 
結算價</t>
    <phoneticPr fontId="2" type="noConversion"/>
  </si>
  <si>
    <t>BTF
開盤參考價</t>
    <phoneticPr fontId="2" type="noConversion"/>
  </si>
  <si>
    <r>
      <rPr>
        <sz val="16"/>
        <color indexed="8"/>
        <rFont val="Times New Roman"/>
        <family val="1"/>
      </rPr>
      <t xml:space="preserve">2 </t>
    </r>
    <r>
      <rPr>
        <sz val="16"/>
        <color indexed="8"/>
        <rFont val="標楷體"/>
        <family val="4"/>
        <charset val="136"/>
      </rPr>
      <t>指數加權移動平均法(EWMA)</t>
    </r>
    <phoneticPr fontId="2" type="noConversion"/>
  </si>
  <si>
    <r>
      <t>近月份期貨
契約價格</t>
    </r>
    <r>
      <rPr>
        <sz val="14"/>
        <color indexed="8"/>
        <rFont val="Times New Roman"/>
        <family val="1"/>
      </rPr>
      <t>A</t>
    </r>
    <phoneticPr fontId="2" type="noConversion"/>
  </si>
  <si>
    <r>
      <t>指數每點價值</t>
    </r>
    <r>
      <rPr>
        <sz val="14"/>
        <color indexed="8"/>
        <rFont val="Times New Roman"/>
        <family val="1"/>
      </rPr>
      <t>B</t>
    </r>
    <phoneticPr fontId="2" type="noConversion"/>
  </si>
  <si>
    <r>
      <t>適用風險價格係數</t>
    </r>
    <r>
      <rPr>
        <sz val="14"/>
        <color indexed="8"/>
        <rFont val="Times New Roman"/>
        <family val="1"/>
      </rPr>
      <t>C</t>
    </r>
    <phoneticPr fontId="2" type="noConversion"/>
  </si>
  <si>
    <t>實際風險價格係數</t>
    <phoneticPr fontId="1" type="noConversion"/>
  </si>
  <si>
    <t>最小風險價格係數</t>
    <phoneticPr fontId="1" type="noConversion"/>
  </si>
  <si>
    <r>
      <t>本日結算保證金</t>
    </r>
    <r>
      <rPr>
        <sz val="14"/>
        <color indexed="8"/>
        <rFont val="Times New Roman"/>
        <family val="1"/>
      </rPr>
      <t>D=A×B×C</t>
    </r>
    <phoneticPr fontId="2" type="noConversion"/>
  </si>
  <si>
    <t>現行收取
結算保證金</t>
    <phoneticPr fontId="2" type="noConversion"/>
  </si>
  <si>
    <t>變動幅度</t>
    <phoneticPr fontId="2" type="noConversion"/>
  </si>
  <si>
    <t>2500天R</t>
    <phoneticPr fontId="1" type="noConversion"/>
  </si>
  <si>
    <t>實際風險價格係數</t>
    <phoneticPr fontId="2" type="noConversion"/>
  </si>
  <si>
    <t xml:space="preserve">
結算價</t>
    <phoneticPr fontId="1" type="noConversion"/>
  </si>
  <si>
    <t xml:space="preserve">
開盤參考價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</si>
</sst>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3" formatCode="_-* #,##0.00_-;\-* #,##0.00_-;_-* &quot;-&quot;??_-;_-@_-"/>
    <numFmt numFmtId="176" formatCode="yyyy/m/d;@"/>
    <numFmt numFmtId="178" formatCode="0.0%"/>
    <numFmt numFmtId="180" formatCode="0.00_);[Red]\(0.00\)"/>
    <numFmt numFmtId="181" formatCode="0_);[Red]\(0\)"/>
    <numFmt numFmtId="182" formatCode="#,##0_);[Red]\(#,##0\)"/>
    <numFmt numFmtId="184" formatCode="#,##0_ "/>
    <numFmt numFmtId="186" formatCode="_-* #,##0_-;\-* #,##0_-;_-* &quot;-&quot;??_-;_-@_-"/>
    <numFmt numFmtId="187" formatCode="#,##0.00_ "/>
    <numFmt numFmtId="188" formatCode="#,##0.0_ "/>
    <numFmt numFmtId="189" formatCode="#,##0.000_ "/>
    <numFmt numFmtId="191" formatCode="0_ ;[Red]\-0\ "/>
    <numFmt numFmtId="193" formatCode="0.000%"/>
    <numFmt numFmtId="203" formatCode="0.00_ ;[Red]\-0.00\ "/>
  </numFmts>
  <fonts count="27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sz val="12"/>
      <name val="標楷體"/>
      <family val="4"/>
      <charset val="136"/>
    </font>
    <font>
      <sz val="12"/>
      <name val="新細明體"/>
      <family val="1"/>
      <charset val="136"/>
    </font>
    <font>
      <sz val="16"/>
      <name val="標楷體"/>
      <family val="4"/>
      <charset val="136"/>
    </font>
    <font>
      <sz val="16"/>
      <name val="Times New Roman"/>
      <family val="1"/>
    </font>
    <font>
      <sz val="14"/>
      <name val="Times New Roman"/>
      <family val="1"/>
    </font>
    <font>
      <sz val="14"/>
      <color indexed="12"/>
      <name val="Times New Roman"/>
      <family val="1"/>
    </font>
    <font>
      <sz val="16"/>
      <color indexed="8"/>
      <name val="Times New Roman"/>
      <family val="1"/>
    </font>
    <font>
      <sz val="14"/>
      <color indexed="8"/>
      <name val="Times New Roman"/>
      <family val="1"/>
    </font>
    <font>
      <sz val="14"/>
      <color indexed="8"/>
      <name val="標楷體"/>
      <family val="4"/>
      <charset val="136"/>
    </font>
    <font>
      <sz val="12"/>
      <color indexed="8"/>
      <name val="新細明體"/>
      <family val="1"/>
      <charset val="136"/>
    </font>
    <font>
      <sz val="12"/>
      <color indexed="9"/>
      <name val="Times New Roman"/>
      <family val="1"/>
    </font>
    <font>
      <sz val="12"/>
      <color indexed="10"/>
      <name val="Times New Roman"/>
      <family val="1"/>
    </font>
    <font>
      <sz val="12"/>
      <color indexed="10"/>
      <name val="標楷體"/>
      <family val="4"/>
      <charset val="136"/>
    </font>
    <font>
      <sz val="12"/>
      <color indexed="9"/>
      <name val="Times New Roman"/>
      <family val="1"/>
    </font>
    <font>
      <sz val="14"/>
      <color indexed="9"/>
      <name val="Times New Roman"/>
      <family val="1"/>
    </font>
    <font>
      <sz val="16"/>
      <color indexed="9"/>
      <name val="標楷體"/>
      <family val="4"/>
      <charset val="136"/>
    </font>
    <font>
      <sz val="12"/>
      <name val="細明體"/>
      <family val="3"/>
    </font>
    <font>
      <sz val="12"/>
      <color indexed="10"/>
      <name val="細明體"/>
      <family val="3"/>
    </font>
    <font>
      <sz val="9"/>
      <color indexed="81"/>
      <name val="新細明體"/>
      <family val="1"/>
      <charset val="136"/>
    </font>
    <font>
      <sz val="16"/>
      <color indexed="8"/>
      <name val="標楷體"/>
      <family val="4"/>
      <charset val="136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標楷體"/>
      <family val="4"/>
      <charset val="136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5" fillId="0" borderId="0"/>
    <xf numFmtId="43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</cellStyleXfs>
  <cellXfs count="123">
    <xf numFmtId="0" fontId="0" fillId="0" borderId="0" xfId="0">
      <alignment vertical="center"/>
    </xf>
    <xf numFmtId="0" fontId="6" fillId="0" borderId="0" xfId="1" applyFont="1"/>
    <xf numFmtId="0" fontId="7" fillId="0" borderId="0" xfId="1" applyFont="1"/>
    <xf numFmtId="0" fontId="3" fillId="0" borderId="0" xfId="1" applyFont="1"/>
    <xf numFmtId="0" fontId="8" fillId="0" borderId="0" xfId="1" applyFont="1" applyAlignment="1">
      <alignment vertical="center"/>
    </xf>
    <xf numFmtId="184" fontId="8" fillId="0" borderId="0" xfId="1" applyNumberFormat="1" applyFont="1" applyBorder="1" applyAlignment="1">
      <alignment horizontal="center" vertical="center" wrapText="1"/>
    </xf>
    <xf numFmtId="184" fontId="8" fillId="0" borderId="1" xfId="1" applyNumberFormat="1" applyFont="1" applyBorder="1" applyAlignment="1">
      <alignment horizontal="center" vertical="center" wrapText="1"/>
    </xf>
    <xf numFmtId="0" fontId="3" fillId="0" borderId="0" xfId="1" applyFont="1" applyAlignment="1"/>
    <xf numFmtId="0" fontId="14" fillId="0" borderId="0" xfId="1" applyFont="1"/>
    <xf numFmtId="0" fontId="17" fillId="0" borderId="0" xfId="1" applyFont="1"/>
    <xf numFmtId="10" fontId="3" fillId="0" borderId="0" xfId="0" applyNumberFormat="1" applyFont="1" applyFill="1" applyBorder="1" applyAlignment="1">
      <alignment horizontal="center"/>
    </xf>
    <xf numFmtId="0" fontId="18" fillId="0" borderId="0" xfId="1" applyFont="1" applyAlignment="1">
      <alignment vertical="center"/>
    </xf>
    <xf numFmtId="3" fontId="17" fillId="0" borderId="0" xfId="1" applyNumberFormat="1" applyFont="1" applyAlignment="1">
      <alignment vertical="center" wrapText="1"/>
    </xf>
    <xf numFmtId="10" fontId="18" fillId="0" borderId="0" xfId="1" applyNumberFormat="1" applyFont="1" applyFill="1" applyBorder="1" applyAlignment="1">
      <alignment horizontal="center"/>
    </xf>
    <xf numFmtId="0" fontId="18" fillId="0" borderId="0" xfId="1" applyFont="1"/>
    <xf numFmtId="0" fontId="17" fillId="0" borderId="0" xfId="1" applyFont="1" applyAlignment="1"/>
    <xf numFmtId="10" fontId="3" fillId="0" borderId="1" xfId="3" applyNumberFormat="1" applyFont="1" applyFill="1" applyBorder="1" applyAlignment="1">
      <alignment horizontal="center"/>
    </xf>
    <xf numFmtId="178" fontId="3" fillId="0" borderId="1" xfId="0" applyNumberFormat="1" applyFont="1" applyFill="1" applyBorder="1" applyAlignment="1">
      <alignment horizontal="center"/>
    </xf>
    <xf numFmtId="203" fontId="3" fillId="0" borderId="1" xfId="0" applyNumberFormat="1" applyFont="1" applyFill="1" applyBorder="1" applyAlignment="1">
      <alignment horizontal="center"/>
    </xf>
    <xf numFmtId="178" fontId="3" fillId="0" borderId="1" xfId="3" applyNumberFormat="1" applyFont="1" applyFill="1" applyBorder="1" applyAlignment="1">
      <alignment horizontal="center"/>
    </xf>
    <xf numFmtId="0" fontId="16" fillId="0" borderId="0" xfId="1" applyFont="1" applyAlignment="1"/>
    <xf numFmtId="0" fontId="19" fillId="0" borderId="0" xfId="1" applyFont="1"/>
    <xf numFmtId="186" fontId="3" fillId="0" borderId="0" xfId="2" applyNumberFormat="1" applyFont="1" applyBorder="1" applyAlignment="1"/>
    <xf numFmtId="181" fontId="3" fillId="0" borderId="0" xfId="2" applyNumberFormat="1" applyFont="1" applyFill="1" applyBorder="1" applyAlignment="1"/>
    <xf numFmtId="186" fontId="3" fillId="0" borderId="0" xfId="2" applyNumberFormat="1" applyFont="1" applyFill="1" applyBorder="1" applyAlignment="1"/>
    <xf numFmtId="178" fontId="3" fillId="0" borderId="0" xfId="2" applyNumberFormat="1" applyFont="1" applyFill="1" applyBorder="1" applyAlignment="1"/>
    <xf numFmtId="180" fontId="3" fillId="0" borderId="0" xfId="2" applyNumberFormat="1" applyFont="1" applyFill="1" applyBorder="1" applyAlignment="1"/>
    <xf numFmtId="191" fontId="3" fillId="0" borderId="0" xfId="2" applyNumberFormat="1" applyFont="1" applyFill="1" applyBorder="1" applyAlignment="1"/>
    <xf numFmtId="10" fontId="3" fillId="0" borderId="0" xfId="2" applyNumberFormat="1" applyFont="1" applyFill="1" applyBorder="1" applyAlignment="1"/>
    <xf numFmtId="0" fontId="3" fillId="0" borderId="0" xfId="0" applyFont="1" applyFill="1" applyBorder="1" applyAlignment="1"/>
    <xf numFmtId="178" fontId="3" fillId="0" borderId="0" xfId="0" applyNumberFormat="1" applyFont="1" applyFill="1" applyBorder="1" applyAlignment="1"/>
    <xf numFmtId="181" fontId="3" fillId="0" borderId="0" xfId="0" applyNumberFormat="1" applyFont="1" applyFill="1" applyBorder="1" applyAlignment="1"/>
    <xf numFmtId="191" fontId="3" fillId="0" borderId="0" xfId="0" applyNumberFormat="1" applyFont="1" applyFill="1" applyBorder="1" applyAlignment="1"/>
    <xf numFmtId="10" fontId="3" fillId="0" borderId="0" xfId="0" applyNumberFormat="1" applyFont="1" applyFill="1" applyBorder="1" applyAlignment="1"/>
    <xf numFmtId="180" fontId="3" fillId="0" borderId="0" xfId="0" applyNumberFormat="1" applyFont="1" applyFill="1" applyBorder="1" applyAlignment="1"/>
    <xf numFmtId="178" fontId="3" fillId="0" borderId="0" xfId="2" applyNumberFormat="1" applyFont="1" applyFill="1" applyBorder="1" applyAlignment="1">
      <alignment horizontal="center"/>
    </xf>
    <xf numFmtId="10" fontId="3" fillId="0" borderId="0" xfId="2" applyNumberFormat="1" applyFont="1" applyFill="1" applyBorder="1" applyAlignment="1">
      <alignment horizontal="center"/>
    </xf>
    <xf numFmtId="186" fontId="3" fillId="0" borderId="0" xfId="2" applyNumberFormat="1" applyFont="1" applyFill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0" fontId="3" fillId="0" borderId="0" xfId="0" applyFont="1" applyBorder="1" applyAlignment="1"/>
    <xf numFmtId="178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76" fontId="4" fillId="2" borderId="1" xfId="0" applyNumberFormat="1" applyFont="1" applyFill="1" applyBorder="1" applyAlignment="1">
      <alignment vertical="center" wrapText="1"/>
    </xf>
    <xf numFmtId="10" fontId="4" fillId="2" borderId="1" xfId="0" applyNumberFormat="1" applyFont="1" applyFill="1" applyBorder="1" applyAlignment="1">
      <alignment horizontal="center" vertical="center" wrapText="1"/>
    </xf>
    <xf numFmtId="178" fontId="4" fillId="2" borderId="1" xfId="0" applyNumberFormat="1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/>
    <xf numFmtId="181" fontId="3" fillId="0" borderId="1" xfId="3" applyNumberFormat="1" applyFont="1" applyFill="1" applyBorder="1" applyAlignment="1">
      <alignment horizontal="center"/>
    </xf>
    <xf numFmtId="184" fontId="3" fillId="0" borderId="1" xfId="0" applyNumberFormat="1" applyFont="1" applyFill="1" applyBorder="1" applyAlignment="1">
      <alignment horizontal="center"/>
    </xf>
    <xf numFmtId="180" fontId="3" fillId="0" borderId="1" xfId="0" applyNumberFormat="1" applyFont="1" applyFill="1" applyBorder="1" applyAlignment="1">
      <alignment horizontal="center"/>
    </xf>
    <xf numFmtId="10" fontId="3" fillId="0" borderId="1" xfId="3" applyNumberFormat="1" applyFont="1" applyFill="1" applyBorder="1" applyAlignment="1"/>
    <xf numFmtId="184" fontId="3" fillId="0" borderId="1" xfId="0" applyNumberFormat="1" applyFont="1" applyFill="1" applyBorder="1" applyAlignment="1"/>
    <xf numFmtId="178" fontId="3" fillId="0" borderId="1" xfId="0" applyNumberFormat="1" applyFont="1" applyFill="1" applyBorder="1" applyAlignment="1"/>
    <xf numFmtId="0" fontId="3" fillId="0" borderId="1" xfId="0" applyFont="1" applyFill="1" applyBorder="1" applyAlignment="1"/>
    <xf numFmtId="176" fontId="3" fillId="0" borderId="1" xfId="0" applyNumberFormat="1" applyFont="1" applyFill="1" applyBorder="1" applyAlignment="1"/>
    <xf numFmtId="0" fontId="20" fillId="0" borderId="0" xfId="0" applyFont="1" applyBorder="1" applyAlignment="1"/>
    <xf numFmtId="186" fontId="21" fillId="0" borderId="0" xfId="2" applyNumberFormat="1" applyFont="1" applyBorder="1" applyAlignment="1"/>
    <xf numFmtId="178" fontId="3" fillId="3" borderId="1" xfId="3" applyNumberFormat="1" applyFont="1" applyFill="1" applyBorder="1" applyAlignment="1">
      <alignment horizontal="center"/>
    </xf>
    <xf numFmtId="0" fontId="8" fillId="0" borderId="0" xfId="1" applyFont="1" applyBorder="1" applyAlignment="1">
      <alignment horizontal="center" vertical="center" wrapText="1"/>
    </xf>
    <xf numFmtId="189" fontId="9" fillId="0" borderId="0" xfId="1" applyNumberFormat="1" applyFont="1" applyBorder="1" applyAlignment="1">
      <alignment horizontal="center" vertical="center" wrapText="1"/>
    </xf>
    <xf numFmtId="193" fontId="9" fillId="0" borderId="0" xfId="4" applyNumberFormat="1" applyFont="1" applyBorder="1" applyAlignment="1">
      <alignment horizontal="center" vertical="center" wrapText="1"/>
    </xf>
    <xf numFmtId="184" fontId="8" fillId="4" borderId="0" xfId="1" applyNumberFormat="1" applyFont="1" applyFill="1" applyBorder="1" applyAlignment="1">
      <alignment horizontal="center" vertical="center" wrapText="1"/>
    </xf>
    <xf numFmtId="182" fontId="4" fillId="2" borderId="1" xfId="0" applyNumberFormat="1" applyFont="1" applyFill="1" applyBorder="1" applyAlignment="1">
      <alignment horizontal="center" vertical="center" wrapText="1"/>
    </xf>
    <xf numFmtId="182" fontId="3" fillId="0" borderId="1" xfId="0" applyNumberFormat="1" applyFont="1" applyFill="1" applyBorder="1" applyAlignment="1">
      <alignment horizontal="center"/>
    </xf>
    <xf numFmtId="182" fontId="3" fillId="0" borderId="0" xfId="0" applyNumberFormat="1" applyFont="1" applyFill="1" applyBorder="1" applyAlignment="1">
      <alignment horizontal="center"/>
    </xf>
    <xf numFmtId="182" fontId="3" fillId="0" borderId="0" xfId="2" applyNumberFormat="1" applyFont="1" applyFill="1" applyBorder="1" applyAlignment="1">
      <alignment horizontal="center"/>
    </xf>
    <xf numFmtId="176" fontId="3" fillId="0" borderId="0" xfId="2" applyNumberFormat="1" applyFont="1" applyFill="1" applyBorder="1" applyAlignment="1"/>
    <xf numFmtId="176" fontId="3" fillId="0" borderId="0" xfId="2" applyNumberFormat="1" applyFont="1" applyFill="1" applyBorder="1" applyAlignment="1">
      <alignment horizontal="center"/>
    </xf>
    <xf numFmtId="181" fontId="4" fillId="5" borderId="1" xfId="0" applyNumberFormat="1" applyFont="1" applyFill="1" applyBorder="1" applyAlignment="1">
      <alignment horizontal="center" vertical="center" wrapText="1"/>
    </xf>
    <xf numFmtId="191" fontId="4" fillId="5" borderId="1" xfId="0" applyNumberFormat="1" applyFont="1" applyFill="1" applyBorder="1" applyAlignment="1">
      <alignment horizontal="center" vertical="center" wrapText="1"/>
    </xf>
    <xf numFmtId="178" fontId="4" fillId="5" borderId="1" xfId="3" applyNumberFormat="1" applyFont="1" applyFill="1" applyBorder="1" applyAlignment="1">
      <alignment horizontal="center" vertical="center" wrapText="1"/>
    </xf>
    <xf numFmtId="10" fontId="4" fillId="5" borderId="1" xfId="0" applyNumberFormat="1" applyFont="1" applyFill="1" applyBorder="1" applyAlignment="1">
      <alignment horizontal="center" vertical="center" wrapText="1"/>
    </xf>
    <xf numFmtId="181" fontId="4" fillId="5" borderId="1" xfId="3" applyNumberFormat="1" applyFont="1" applyFill="1" applyBorder="1" applyAlignment="1">
      <alignment horizontal="center" vertical="center" wrapText="1"/>
    </xf>
    <xf numFmtId="178" fontId="4" fillId="5" borderId="1" xfId="0" applyNumberFormat="1" applyFont="1" applyFill="1" applyBorder="1" applyAlignment="1">
      <alignment horizontal="center" vertical="center" wrapText="1"/>
    </xf>
    <xf numFmtId="182" fontId="4" fillId="5" borderId="1" xfId="0" applyNumberFormat="1" applyFont="1" applyFill="1" applyBorder="1" applyAlignment="1">
      <alignment horizontal="center" vertical="center" wrapText="1"/>
    </xf>
    <xf numFmtId="0" fontId="8" fillId="0" borderId="1" xfId="1" applyFont="1" applyFill="1" applyBorder="1" applyAlignment="1">
      <alignment horizontal="center" vertical="center" wrapText="1"/>
    </xf>
    <xf numFmtId="0" fontId="23" fillId="0" borderId="0" xfId="1" applyFont="1" applyAlignment="1">
      <alignment horizontal="left" vertical="center"/>
    </xf>
    <xf numFmtId="0" fontId="24" fillId="0" borderId="0" xfId="1" applyFont="1" applyAlignment="1">
      <alignment horizontal="left" vertical="center"/>
    </xf>
    <xf numFmtId="0" fontId="25" fillId="0" borderId="0" xfId="1" applyFont="1" applyAlignment="1"/>
    <xf numFmtId="184" fontId="24" fillId="0" borderId="0" xfId="1" applyNumberFormat="1" applyFont="1" applyBorder="1" applyAlignment="1">
      <alignment horizontal="center" vertical="center" wrapText="1"/>
    </xf>
    <xf numFmtId="184" fontId="24" fillId="0" borderId="0" xfId="1" applyNumberFormat="1" applyFont="1" applyFill="1" applyBorder="1" applyAlignment="1">
      <alignment horizontal="center" vertical="center" wrapText="1"/>
    </xf>
    <xf numFmtId="10" fontId="24" fillId="0" borderId="0" xfId="1" applyNumberFormat="1" applyFont="1" applyFill="1" applyBorder="1" applyAlignment="1">
      <alignment horizontal="center"/>
    </xf>
    <xf numFmtId="0" fontId="26" fillId="0" borderId="2" xfId="1" applyFont="1" applyBorder="1" applyAlignment="1">
      <alignment horizontal="center" vertical="center" wrapText="1"/>
    </xf>
    <xf numFmtId="0" fontId="26" fillId="0" borderId="1" xfId="1" applyFont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184" fontId="26" fillId="0" borderId="1" xfId="1" applyNumberFormat="1" applyFont="1" applyBorder="1" applyAlignment="1">
      <alignment horizontal="center" vertical="center" wrapText="1"/>
    </xf>
    <xf numFmtId="184" fontId="26" fillId="0" borderId="1" xfId="1" applyNumberFormat="1" applyFont="1" applyFill="1" applyBorder="1" applyAlignment="1">
      <alignment horizontal="center" vertical="center" wrapText="1"/>
    </xf>
    <xf numFmtId="0" fontId="24" fillId="0" borderId="1" xfId="1" applyFont="1" applyFill="1" applyBorder="1" applyAlignment="1">
      <alignment horizontal="center" vertical="center" wrapText="1"/>
    </xf>
    <xf numFmtId="188" fontId="24" fillId="0" borderId="1" xfId="1" applyNumberFormat="1" applyFont="1" applyBorder="1" applyAlignment="1">
      <alignment horizontal="center" vertical="center" wrapText="1"/>
    </xf>
    <xf numFmtId="184" fontId="24" fillId="0" borderId="1" xfId="1" applyNumberFormat="1" applyFont="1" applyBorder="1" applyAlignment="1">
      <alignment horizontal="center" vertical="center" wrapText="1"/>
    </xf>
    <xf numFmtId="10" fontId="24" fillId="0" borderId="1" xfId="4" applyNumberFormat="1" applyFont="1" applyBorder="1" applyAlignment="1">
      <alignment horizontal="center" vertical="center" wrapText="1"/>
    </xf>
    <xf numFmtId="184" fontId="24" fillId="0" borderId="1" xfId="1" applyNumberFormat="1" applyFont="1" applyFill="1" applyBorder="1" applyAlignment="1">
      <alignment horizontal="center" vertical="center" wrapText="1"/>
    </xf>
    <xf numFmtId="184" fontId="24" fillId="6" borderId="1" xfId="1" applyNumberFormat="1" applyFont="1" applyFill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187" fontId="24" fillId="0" borderId="1" xfId="1" applyNumberFormat="1" applyFont="1" applyBorder="1" applyAlignment="1">
      <alignment horizontal="center" vertical="center" wrapText="1"/>
    </xf>
    <xf numFmtId="187" fontId="8" fillId="0" borderId="1" xfId="1" applyNumberFormat="1" applyFont="1" applyBorder="1" applyAlignment="1">
      <alignment horizontal="center" vertical="center" wrapText="1"/>
    </xf>
    <xf numFmtId="10" fontId="8" fillId="0" borderId="1" xfId="4" applyNumberFormat="1" applyFont="1" applyBorder="1" applyAlignment="1">
      <alignment horizontal="center" vertical="center" wrapText="1"/>
    </xf>
    <xf numFmtId="184" fontId="8" fillId="0" borderId="1" xfId="1" applyNumberFormat="1" applyFont="1" applyFill="1" applyBorder="1" applyAlignment="1">
      <alignment horizontal="center" vertical="center" wrapText="1"/>
    </xf>
    <xf numFmtId="184" fontId="8" fillId="6" borderId="1" xfId="1" applyNumberFormat="1" applyFont="1" applyFill="1" applyBorder="1" applyAlignment="1">
      <alignment horizontal="center" vertical="center" wrapText="1"/>
    </xf>
    <xf numFmtId="178" fontId="8" fillId="0" borderId="2" xfId="4" applyNumberFormat="1" applyFont="1" applyFill="1" applyBorder="1" applyAlignment="1">
      <alignment horizontal="center" vertical="center" wrapText="1"/>
    </xf>
    <xf numFmtId="178" fontId="8" fillId="0" borderId="1" xfId="4" applyNumberFormat="1" applyFont="1" applyFill="1" applyBorder="1" applyAlignment="1">
      <alignment horizontal="center" vertical="center" wrapText="1"/>
    </xf>
    <xf numFmtId="178" fontId="4" fillId="0" borderId="1" xfId="3" applyNumberFormat="1" applyFont="1" applyFill="1" applyBorder="1" applyAlignment="1">
      <alignment horizontal="center" vertical="center" wrapText="1"/>
    </xf>
    <xf numFmtId="10" fontId="3" fillId="7" borderId="0" xfId="2" applyNumberFormat="1" applyFont="1" applyFill="1" applyBorder="1" applyAlignment="1">
      <alignment horizontal="center"/>
    </xf>
    <xf numFmtId="186" fontId="3" fillId="7" borderId="0" xfId="2" applyNumberFormat="1" applyFont="1" applyFill="1" applyBorder="1" applyAlignment="1">
      <alignment horizontal="center"/>
    </xf>
    <xf numFmtId="181" fontId="4" fillId="7" borderId="1" xfId="3" applyNumberFormat="1" applyFont="1" applyFill="1" applyBorder="1" applyAlignment="1">
      <alignment horizontal="center" vertical="center" wrapText="1"/>
    </xf>
    <xf numFmtId="181" fontId="3" fillId="7" borderId="1" xfId="3" applyNumberFormat="1" applyFont="1" applyFill="1" applyBorder="1" applyAlignment="1">
      <alignment horizontal="center"/>
    </xf>
    <xf numFmtId="181" fontId="3" fillId="7" borderId="0" xfId="0" applyNumberFormat="1" applyFont="1" applyFill="1" applyBorder="1" applyAlignment="1">
      <alignment horizontal="center"/>
    </xf>
    <xf numFmtId="186" fontId="21" fillId="7" borderId="0" xfId="2" applyNumberFormat="1" applyFont="1" applyFill="1" applyBorder="1" applyAlignment="1"/>
    <xf numFmtId="181" fontId="3" fillId="7" borderId="0" xfId="2" applyNumberFormat="1" applyFont="1" applyFill="1" applyBorder="1" applyAlignment="1">
      <alignment horizontal="center"/>
    </xf>
    <xf numFmtId="191" fontId="3" fillId="7" borderId="0" xfId="2" applyNumberFormat="1" applyFont="1" applyFill="1" applyBorder="1" applyAlignment="1">
      <alignment horizontal="center"/>
    </xf>
    <xf numFmtId="176" fontId="4" fillId="7" borderId="1" xfId="0" applyNumberFormat="1" applyFont="1" applyFill="1" applyBorder="1" applyAlignment="1">
      <alignment vertical="center" wrapText="1"/>
    </xf>
    <xf numFmtId="181" fontId="4" fillId="7" borderId="1" xfId="0" applyNumberFormat="1" applyFont="1" applyFill="1" applyBorder="1" applyAlignment="1">
      <alignment horizontal="center" vertical="center" wrapText="1"/>
    </xf>
    <xf numFmtId="191" fontId="4" fillId="7" borderId="1" xfId="0" applyNumberFormat="1" applyFont="1" applyFill="1" applyBorder="1" applyAlignment="1">
      <alignment horizontal="center" vertical="center" wrapText="1"/>
    </xf>
    <xf numFmtId="176" fontId="3" fillId="7" borderId="1" xfId="0" applyNumberFormat="1" applyFont="1" applyFill="1" applyBorder="1" applyAlignment="1"/>
    <xf numFmtId="180" fontId="3" fillId="7" borderId="1" xfId="0" applyNumberFormat="1" applyFont="1" applyFill="1" applyBorder="1" applyAlignment="1">
      <alignment horizontal="center"/>
    </xf>
    <xf numFmtId="203" fontId="3" fillId="7" borderId="1" xfId="0" applyNumberFormat="1" applyFont="1" applyFill="1" applyBorder="1" applyAlignment="1">
      <alignment horizontal="center"/>
    </xf>
    <xf numFmtId="0" fontId="20" fillId="7" borderId="0" xfId="0" applyFont="1" applyFill="1" applyBorder="1" applyAlignment="1"/>
    <xf numFmtId="191" fontId="3" fillId="7" borderId="0" xfId="0" applyNumberFormat="1" applyFont="1" applyFill="1" applyBorder="1" applyAlignment="1">
      <alignment horizontal="center"/>
    </xf>
    <xf numFmtId="0" fontId="3" fillId="7" borderId="0" xfId="0" applyFont="1" applyFill="1" applyBorder="1" applyAlignment="1"/>
    <xf numFmtId="176" fontId="3" fillId="7" borderId="0" xfId="2" applyNumberFormat="1" applyFont="1" applyFill="1" applyBorder="1" applyAlignment="1">
      <alignment horizontal="center"/>
    </xf>
    <xf numFmtId="0" fontId="24" fillId="7" borderId="1" xfId="1" applyFont="1" applyFill="1" applyBorder="1" applyAlignment="1">
      <alignment horizontal="center" vertical="center" wrapText="1"/>
    </xf>
    <xf numFmtId="188" fontId="24" fillId="7" borderId="1" xfId="1" applyNumberFormat="1" applyFont="1" applyFill="1" applyBorder="1" applyAlignment="1">
      <alignment horizontal="center" vertical="center" wrapText="1"/>
    </xf>
    <xf numFmtId="184" fontId="24" fillId="7" borderId="1" xfId="1" applyNumberFormat="1" applyFont="1" applyFill="1" applyBorder="1" applyAlignment="1">
      <alignment horizontal="center" vertical="center" wrapText="1"/>
    </xf>
    <xf numFmtId="10" fontId="24" fillId="7" borderId="1" xfId="4" applyNumberFormat="1" applyFont="1" applyFill="1" applyBorder="1" applyAlignment="1">
      <alignment horizontal="center" vertical="center" wrapText="1"/>
    </xf>
  </cellXfs>
  <cellStyles count="5">
    <cellStyle name="一般" xfId="0" builtinId="0"/>
    <cellStyle name="一般 2" xfId="1"/>
    <cellStyle name="千分位" xfId="2" builtinId="3"/>
    <cellStyle name="百分比" xfId="3" builtinId="5"/>
    <cellStyle name="百分比 2" xfId="4"/>
  </cellStyles>
  <dxfs count="10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6"/>
  <sheetViews>
    <sheetView showGridLines="0" view="pageBreakPreview" zoomScale="80" zoomScaleNormal="60" zoomScaleSheetLayoutView="80" workbookViewId="0">
      <selection activeCell="D13" sqref="D13"/>
    </sheetView>
  </sheetViews>
  <sheetFormatPr defaultRowHeight="20.25"/>
  <cols>
    <col min="1" max="1" width="6.875" style="2" bestFit="1" customWidth="1"/>
    <col min="2" max="2" width="18.5" style="3" customWidth="1"/>
    <col min="3" max="3" width="21.125" style="3" bestFit="1" customWidth="1"/>
    <col min="4" max="4" width="24.75" style="3" bestFit="1" customWidth="1"/>
    <col min="5" max="7" width="19.5" style="3" customWidth="1"/>
    <col min="8" max="8" width="19.5" style="9" customWidth="1"/>
    <col min="9" max="9" width="12.625" style="9" customWidth="1"/>
    <col min="10" max="10" width="22.75" style="9" customWidth="1"/>
    <col min="11" max="11" width="11" style="9" customWidth="1"/>
    <col min="12" max="13" width="9.75" style="9" bestFit="1" customWidth="1"/>
    <col min="14" max="14" width="9" style="9"/>
    <col min="15" max="16384" width="9" style="3"/>
  </cols>
  <sheetData>
    <row r="1" spans="1:15" s="4" customFormat="1" ht="18.75">
      <c r="B1" s="20"/>
      <c r="C1" s="3"/>
      <c r="D1" s="3"/>
      <c r="E1" s="3"/>
      <c r="F1" s="3"/>
      <c r="G1" s="3"/>
      <c r="H1" s="11"/>
      <c r="I1" s="12"/>
      <c r="J1" s="12"/>
      <c r="K1" s="12"/>
      <c r="L1" s="12"/>
      <c r="M1" s="11"/>
      <c r="N1" s="11"/>
    </row>
    <row r="2" spans="1:15" ht="21">
      <c r="B2" s="75" t="s">
        <v>21</v>
      </c>
      <c r="C2" s="76"/>
      <c r="D2" s="77"/>
      <c r="E2" s="78"/>
      <c r="F2" s="78"/>
      <c r="G2" s="79"/>
      <c r="H2" s="79"/>
      <c r="I2" s="80"/>
      <c r="J2" s="77"/>
    </row>
    <row r="3" spans="1:15" ht="58.5">
      <c r="B3" s="81" t="s">
        <v>2</v>
      </c>
      <c r="C3" s="82" t="s">
        <v>22</v>
      </c>
      <c r="D3" s="83" t="s">
        <v>23</v>
      </c>
      <c r="E3" s="84" t="s">
        <v>24</v>
      </c>
      <c r="F3" s="84" t="s">
        <v>25</v>
      </c>
      <c r="G3" s="84" t="s">
        <v>26</v>
      </c>
      <c r="H3" s="85" t="s">
        <v>27</v>
      </c>
      <c r="I3" s="85" t="s">
        <v>28</v>
      </c>
      <c r="J3" s="85" t="s">
        <v>29</v>
      </c>
      <c r="O3" s="9"/>
    </row>
    <row r="4" spans="1:15">
      <c r="B4" s="119" t="s">
        <v>3</v>
      </c>
      <c r="C4" s="120">
        <f>Rawdata!B3</f>
        <v>0</v>
      </c>
      <c r="D4" s="121">
        <f>Rawdata!M3</f>
        <v>0</v>
      </c>
      <c r="E4" s="122" t="e">
        <f>Rawdata!L3</f>
        <v>#DIV/0!</v>
      </c>
      <c r="F4" s="122" t="e">
        <f>Rawdata!K3</f>
        <v>#DIV/0!</v>
      </c>
      <c r="G4" s="122">
        <f>Rawdata!M1</f>
        <v>0.03</v>
      </c>
      <c r="H4" s="121" t="e">
        <f>Rawdata!O3</f>
        <v>#DIV/0!</v>
      </c>
      <c r="I4" s="121">
        <f>Rawdata!N3</f>
        <v>0</v>
      </c>
      <c r="J4" s="121" t="e">
        <f>Rawdata!P3</f>
        <v>#DIV/0!</v>
      </c>
      <c r="O4" s="9"/>
    </row>
    <row r="5" spans="1:15">
      <c r="B5" s="92"/>
      <c r="C5" s="93"/>
      <c r="D5" s="88"/>
      <c r="E5" s="89"/>
      <c r="F5" s="89"/>
      <c r="G5" s="89"/>
      <c r="H5" s="90"/>
      <c r="I5" s="90"/>
      <c r="J5" s="91"/>
      <c r="O5" s="9"/>
    </row>
    <row r="6" spans="1:15">
      <c r="B6" s="86"/>
      <c r="C6" s="87"/>
      <c r="D6" s="88"/>
      <c r="E6" s="89"/>
      <c r="F6" s="89"/>
      <c r="G6" s="89"/>
      <c r="H6" s="90"/>
      <c r="I6" s="90"/>
      <c r="J6" s="91"/>
      <c r="O6" s="9"/>
    </row>
    <row r="7" spans="1:15">
      <c r="B7" s="86"/>
      <c r="C7" s="93"/>
      <c r="D7" s="88"/>
      <c r="E7" s="89"/>
      <c r="F7" s="89"/>
      <c r="G7" s="89"/>
      <c r="H7" s="90"/>
      <c r="I7" s="90"/>
      <c r="J7" s="91"/>
      <c r="L7" s="8"/>
      <c r="O7" s="9"/>
    </row>
    <row r="8" spans="1:15">
      <c r="B8" s="86"/>
      <c r="C8" s="88"/>
      <c r="D8" s="88"/>
      <c r="E8" s="89"/>
      <c r="F8" s="89"/>
      <c r="G8" s="89"/>
      <c r="H8" s="90"/>
      <c r="I8" s="90"/>
      <c r="J8" s="91"/>
      <c r="O8" s="9"/>
    </row>
    <row r="9" spans="1:15" s="7" customFormat="1" ht="21">
      <c r="A9" s="1"/>
      <c r="B9" s="86"/>
      <c r="C9" s="93"/>
      <c r="D9" s="88"/>
      <c r="E9" s="89"/>
      <c r="F9" s="89"/>
      <c r="G9" s="89"/>
      <c r="H9" s="90"/>
      <c r="I9" s="90"/>
      <c r="J9" s="91"/>
      <c r="K9" s="15"/>
      <c r="L9" s="15"/>
      <c r="M9" s="15"/>
      <c r="N9" s="15"/>
      <c r="O9" s="15"/>
    </row>
    <row r="10" spans="1:15" s="7" customFormat="1" ht="21">
      <c r="A10" s="1"/>
      <c r="B10" s="86"/>
      <c r="C10" s="93"/>
      <c r="D10" s="88"/>
      <c r="E10" s="89"/>
      <c r="F10" s="89"/>
      <c r="G10" s="89"/>
      <c r="H10" s="90"/>
      <c r="I10" s="90"/>
      <c r="J10" s="91"/>
      <c r="K10" s="15"/>
      <c r="L10" s="15"/>
      <c r="M10" s="15"/>
      <c r="N10" s="15"/>
      <c r="O10" s="15"/>
    </row>
    <row r="11" spans="1:15" s="7" customFormat="1" ht="21">
      <c r="A11" s="1"/>
      <c r="B11" s="86"/>
      <c r="C11" s="94"/>
      <c r="D11" s="6"/>
      <c r="E11" s="95"/>
      <c r="F11" s="95"/>
      <c r="G11" s="95"/>
      <c r="H11" s="96"/>
      <c r="I11" s="96"/>
      <c r="J11" s="97"/>
      <c r="K11" s="15"/>
      <c r="L11" s="15"/>
      <c r="M11" s="15"/>
      <c r="N11" s="15"/>
      <c r="O11" s="15"/>
    </row>
    <row r="12" spans="1:15" s="7" customFormat="1" ht="21">
      <c r="A12" s="21">
        <v>0</v>
      </c>
      <c r="B12" s="86"/>
      <c r="C12" s="94"/>
      <c r="D12" s="6"/>
      <c r="E12" s="95"/>
      <c r="F12" s="95"/>
      <c r="G12" s="95"/>
      <c r="H12" s="96"/>
      <c r="I12" s="96"/>
      <c r="J12" s="97"/>
      <c r="K12" s="15"/>
      <c r="L12" s="15"/>
      <c r="M12" s="15"/>
      <c r="N12" s="15"/>
      <c r="O12" s="15"/>
    </row>
    <row r="13" spans="1:15" s="7" customFormat="1" ht="21">
      <c r="A13" s="1"/>
      <c r="B13" s="74"/>
      <c r="C13" s="94"/>
      <c r="D13" s="6"/>
      <c r="E13" s="95"/>
      <c r="F13" s="95"/>
      <c r="G13" s="95"/>
      <c r="H13" s="96"/>
      <c r="I13" s="96"/>
      <c r="J13" s="97"/>
      <c r="K13" s="15"/>
      <c r="L13" s="15"/>
      <c r="M13" s="15"/>
      <c r="N13" s="15"/>
      <c r="O13" s="15"/>
    </row>
    <row r="14" spans="1:15" s="7" customFormat="1" ht="21">
      <c r="A14" s="1"/>
      <c r="B14" s="74"/>
      <c r="C14" s="88"/>
      <c r="D14" s="6"/>
      <c r="E14" s="6"/>
      <c r="F14" s="98"/>
      <c r="G14" s="99"/>
      <c r="H14" s="96"/>
      <c r="I14" s="96"/>
      <c r="J14" s="97"/>
      <c r="K14" s="15"/>
      <c r="L14" s="15"/>
      <c r="M14" s="15"/>
      <c r="N14" s="15"/>
      <c r="O14" s="15"/>
    </row>
    <row r="15" spans="1:15" s="7" customFormat="1" ht="21">
      <c r="A15" s="1"/>
      <c r="B15" s="74"/>
      <c r="C15" s="94"/>
      <c r="D15" s="6"/>
      <c r="E15" s="95"/>
      <c r="F15" s="95"/>
      <c r="G15" s="95"/>
      <c r="H15" s="96"/>
      <c r="I15" s="96"/>
      <c r="J15" s="97"/>
      <c r="K15" s="15"/>
      <c r="L15" s="15"/>
      <c r="M15" s="15"/>
      <c r="N15" s="15"/>
    </row>
    <row r="16" spans="1:15" s="7" customFormat="1" ht="32.25" customHeight="1">
      <c r="A16" s="1"/>
      <c r="B16" s="57"/>
      <c r="C16" s="58"/>
      <c r="D16" s="5"/>
      <c r="E16" s="59"/>
      <c r="F16" s="59"/>
      <c r="G16" s="59"/>
      <c r="H16" s="60"/>
      <c r="I16" s="13"/>
      <c r="J16" s="14"/>
      <c r="K16" s="15"/>
      <c r="L16" s="15"/>
      <c r="M16" s="15"/>
      <c r="N16" s="15"/>
      <c r="O16" s="15"/>
    </row>
  </sheetData>
  <phoneticPr fontId="2" type="noConversion"/>
  <conditionalFormatting sqref="B9">
    <cfRule type="expression" dxfId="9" priority="2" stopIfTrue="1">
      <formula>IF(#REF!=0,10)</formula>
    </cfRule>
  </conditionalFormatting>
  <conditionalFormatting sqref="B10">
    <cfRule type="expression" dxfId="8" priority="1" stopIfTrue="1">
      <formula>IF(#REF!=0,1,0)</formula>
    </cfRule>
  </conditionalFormatting>
  <conditionalFormatting sqref="B4">
    <cfRule type="expression" dxfId="7" priority="10" stopIfTrue="1">
      <formula>IF(#REF!=0,1,0)</formula>
    </cfRule>
  </conditionalFormatting>
  <conditionalFormatting sqref="B5">
    <cfRule type="expression" dxfId="6" priority="9" stopIfTrue="1">
      <formula>IF(#REF!=0,1,0)</formula>
    </cfRule>
  </conditionalFormatting>
  <conditionalFormatting sqref="B6">
    <cfRule type="expression" dxfId="5" priority="8" stopIfTrue="1">
      <formula>IF(#REF!=0,1,0)</formula>
    </cfRule>
  </conditionalFormatting>
  <conditionalFormatting sqref="B7">
    <cfRule type="expression" dxfId="4" priority="7" stopIfTrue="1">
      <formula>IF(#REF!=0,1,0)</formula>
    </cfRule>
  </conditionalFormatting>
  <conditionalFormatting sqref="B8">
    <cfRule type="expression" dxfId="3" priority="6" stopIfTrue="1">
      <formula>IF(#REF!=0,1,0)</formula>
    </cfRule>
  </conditionalFormatting>
  <conditionalFormatting sqref="B9">
    <cfRule type="expression" dxfId="2" priority="5" stopIfTrue="1">
      <formula>IF(#REF!=0,1,0)</formula>
    </cfRule>
  </conditionalFormatting>
  <conditionalFormatting sqref="B10">
    <cfRule type="expression" dxfId="1" priority="4" stopIfTrue="1">
      <formula>IF(#REF!=0,10)</formula>
    </cfRule>
  </conditionalFormatting>
  <conditionalFormatting sqref="B11:B15">
    <cfRule type="expression" dxfId="0" priority="3" stopIfTrue="1">
      <formula>IF(#REF!=0,1,0)</formula>
    </cfRule>
  </conditionalFormatting>
  <printOptions horizontalCentered="1"/>
  <pageMargins left="0.55118110236220474" right="0.43307086614173229" top="1.1023622047244095" bottom="0.35433070866141736" header="0.70866141732283472" footer="0"/>
  <pageSetup paperSize="9" scale="50" orientation="portrait" r:id="rId1"/>
  <headerFooter alignWithMargins="0">
    <oddHeader xml:space="preserve">&amp;C&amp;"標楷體,粗體"&amp;28下午1時45分收盤之期貨契約保證金狀況表&amp;R&amp;"標楷體,標準"&amp;16
</oddHeader>
    <oddFooter xml:space="preserve">&amp;R&amp;"標楷體,標準"&amp;8檔案：&amp;"Times New Roman,標準"&amp;F&amp;"標楷體,標準"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H260"/>
  <sheetViews>
    <sheetView tabSelected="1" view="pageBreakPreview" zoomScale="85" zoomScaleNormal="75" zoomScaleSheetLayoutView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M5" sqref="M5"/>
    </sheetView>
  </sheetViews>
  <sheetFormatPr defaultRowHeight="15.75"/>
  <cols>
    <col min="1" max="1" width="12.125" style="117" bestFit="1" customWidth="1"/>
    <col min="2" max="2" width="9.375" style="105" customWidth="1"/>
    <col min="3" max="3" width="11.375" style="105" customWidth="1"/>
    <col min="4" max="4" width="17.125" style="116" customWidth="1"/>
    <col min="5" max="5" width="9.375" style="40" customWidth="1"/>
    <col min="6" max="12" width="9.375" style="10" customWidth="1"/>
    <col min="13" max="14" width="9.375" style="105" customWidth="1"/>
    <col min="15" max="15" width="9.375" style="41" customWidth="1"/>
    <col min="16" max="16" width="9.375" style="40" customWidth="1"/>
    <col min="17" max="17" width="9.375" style="63" customWidth="1"/>
    <col min="18" max="18" width="9.375" style="40" customWidth="1"/>
    <col min="19" max="19" width="12.125" style="39" hidden="1" customWidth="1"/>
    <col min="20" max="20" width="9.375" style="34" hidden="1" customWidth="1"/>
    <col min="21" max="21" width="11.375" style="31" hidden="1" customWidth="1"/>
    <col min="22" max="22" width="17" style="31" hidden="1" customWidth="1"/>
    <col min="23" max="23" width="16.625" style="32" hidden="1" customWidth="1"/>
    <col min="24" max="28" width="9.375" style="33" hidden="1" customWidth="1"/>
    <col min="29" max="30" width="9.375" style="31" hidden="1" customWidth="1"/>
    <col min="31" max="31" width="9.375" style="29" hidden="1" customWidth="1"/>
    <col min="32" max="32" width="9.375" style="30" hidden="1" customWidth="1"/>
    <col min="33" max="33" width="9.375" style="63" hidden="1" customWidth="1"/>
    <col min="34" max="34" width="9.375" style="40" hidden="1" customWidth="1"/>
    <col min="35" max="16384" width="9" style="39"/>
  </cols>
  <sheetData>
    <row r="1" spans="1:34" s="22" customFormat="1" ht="16.5">
      <c r="A1" s="106" t="s">
        <v>12</v>
      </c>
      <c r="B1" s="107"/>
      <c r="C1" s="107"/>
      <c r="D1" s="108"/>
      <c r="E1" s="35"/>
      <c r="F1" s="36"/>
      <c r="G1" s="36"/>
      <c r="H1" s="36"/>
      <c r="I1" s="118">
        <v>41067</v>
      </c>
      <c r="J1" s="66"/>
      <c r="K1" s="66"/>
      <c r="L1" s="101">
        <v>0.03</v>
      </c>
      <c r="M1" s="101">
        <v>0.03</v>
      </c>
      <c r="N1" s="102"/>
      <c r="O1" s="37"/>
      <c r="P1" s="35"/>
      <c r="Q1" s="64"/>
      <c r="R1" s="35"/>
      <c r="S1" s="55" t="s">
        <v>12</v>
      </c>
      <c r="T1" s="26"/>
      <c r="U1" s="23"/>
      <c r="V1" s="23"/>
      <c r="W1" s="27"/>
      <c r="X1" s="28"/>
      <c r="Y1" s="28"/>
      <c r="Z1" s="28"/>
      <c r="AA1" s="65">
        <v>42551</v>
      </c>
      <c r="AB1" s="28">
        <v>3.5000000000000003E-2</v>
      </c>
      <c r="AC1" s="28">
        <v>3.5000000000000003E-2</v>
      </c>
      <c r="AD1" s="24"/>
      <c r="AE1" s="24"/>
      <c r="AF1" s="25"/>
      <c r="AG1" s="64"/>
      <c r="AH1" s="35"/>
    </row>
    <row r="2" spans="1:34" s="38" customFormat="1" ht="49.5">
      <c r="A2" s="109" t="s">
        <v>0</v>
      </c>
      <c r="B2" s="110" t="s">
        <v>32</v>
      </c>
      <c r="C2" s="110" t="s">
        <v>33</v>
      </c>
      <c r="D2" s="111" t="s">
        <v>4</v>
      </c>
      <c r="E2" s="100" t="s">
        <v>18</v>
      </c>
      <c r="F2" s="43" t="s">
        <v>5</v>
      </c>
      <c r="G2" s="43" t="s">
        <v>6</v>
      </c>
      <c r="H2" s="43" t="s">
        <v>7</v>
      </c>
      <c r="I2" s="43" t="s">
        <v>8</v>
      </c>
      <c r="J2" s="43" t="s">
        <v>30</v>
      </c>
      <c r="K2" s="43" t="s">
        <v>31</v>
      </c>
      <c r="L2" s="43" t="s">
        <v>13</v>
      </c>
      <c r="M2" s="103" t="s">
        <v>9</v>
      </c>
      <c r="N2" s="103" t="s">
        <v>10</v>
      </c>
      <c r="O2" s="44" t="s">
        <v>14</v>
      </c>
      <c r="P2" s="44" t="s">
        <v>11</v>
      </c>
      <c r="Q2" s="61" t="s">
        <v>15</v>
      </c>
      <c r="R2" s="44" t="s">
        <v>16</v>
      </c>
      <c r="S2" s="42" t="s">
        <v>0</v>
      </c>
      <c r="T2" s="67" t="s">
        <v>19</v>
      </c>
      <c r="U2" s="67" t="s">
        <v>20</v>
      </c>
      <c r="V2" s="68" t="s">
        <v>4</v>
      </c>
      <c r="W2" s="69" t="s">
        <v>17</v>
      </c>
      <c r="X2" s="70" t="s">
        <v>5</v>
      </c>
      <c r="Y2" s="70" t="s">
        <v>6</v>
      </c>
      <c r="Z2" s="70" t="s">
        <v>7</v>
      </c>
      <c r="AA2" s="70" t="s">
        <v>8</v>
      </c>
      <c r="AB2" s="70" t="s">
        <v>13</v>
      </c>
      <c r="AC2" s="71" t="s">
        <v>1</v>
      </c>
      <c r="AD2" s="71" t="s">
        <v>10</v>
      </c>
      <c r="AE2" s="72" t="s">
        <v>14</v>
      </c>
      <c r="AF2" s="72" t="s">
        <v>11</v>
      </c>
      <c r="AG2" s="73" t="s">
        <v>15</v>
      </c>
      <c r="AH2" s="72" t="s">
        <v>16</v>
      </c>
    </row>
    <row r="3" spans="1:34">
      <c r="A3" s="112"/>
      <c r="B3" s="113"/>
      <c r="C3" s="113"/>
      <c r="D3" s="114">
        <f t="shared" ref="D3:D66" si="0">B3-C3</f>
        <v>0</v>
      </c>
      <c r="E3" s="19" t="e">
        <f t="shared" ref="E3:E66" si="1">IF($A3&gt;DATE(2010,9,30),ROUNDUP(ABS( D3/C3 ),3),ROUNDUP(ABS( (B3-B4)/B4 ),3))</f>
        <v>#DIV/0!</v>
      </c>
      <c r="F3" s="16" t="e">
        <f t="shared" ref="F3:F34" si="2">ROUND(ROUND(AVERAGE(E3:E32),4)+2.575*ROUND(STDEV(E3:E32),4),4)</f>
        <v>#DIV/0!</v>
      </c>
      <c r="G3" s="16" t="e">
        <f t="shared" ref="G3:G34" si="3">ROUND(ROUND(AVERAGE(E3:E62),4)+2.575*ROUND(STDEV(E3:E62),4),4)</f>
        <v>#DIV/0!</v>
      </c>
      <c r="H3" s="16" t="e">
        <f t="shared" ref="H3:H34" si="4">ROUND(ROUND(AVERAGE(E3:E92),4)+2.575*ROUND(STDEV(E3:E92),4),4)</f>
        <v>#DIV/0!</v>
      </c>
      <c r="I3" s="16" t="e">
        <f t="shared" ref="I3:J34" si="5">ROUND(ROUND(AVERAGE(E3:E182),4)+2.575*ROUND(STDEV(E3:E182),4),4)</f>
        <v>#DIV/0!</v>
      </c>
      <c r="J3" s="16" t="e">
        <f t="shared" si="5"/>
        <v>#DIV/0!</v>
      </c>
      <c r="K3" s="16" t="e">
        <f>AVERAGE(F3:J3)</f>
        <v>#DIV/0!</v>
      </c>
      <c r="L3" s="16" t="e">
        <f>ROUND(MAX(AVERAGE(F3:J3),M$1),4)</f>
        <v>#DIV/0!</v>
      </c>
      <c r="M3" s="104"/>
      <c r="N3" s="104"/>
      <c r="O3" s="47" t="e">
        <f t="shared" ref="O3:O34" si="6">B3*L3*M3</f>
        <v>#DIV/0!</v>
      </c>
      <c r="P3" s="17" t="e">
        <f t="shared" ref="P3:P34" si="7">ROUNDUP((O3-N3)/N3,3)</f>
        <v>#DIV/0!</v>
      </c>
      <c r="Q3" s="62" t="e">
        <f t="shared" ref="Q3:Q34" si="8">ROUNDUP(O3/1000,0)*1000</f>
        <v>#DIV/0!</v>
      </c>
      <c r="R3" s="17" t="e">
        <f t="shared" ref="R3:R34" si="9">ROUNDUP((Q3-N3)/N3,3)</f>
        <v>#DIV/0!</v>
      </c>
      <c r="S3" s="45"/>
      <c r="T3" s="48"/>
      <c r="U3" s="48"/>
      <c r="V3" s="18">
        <f t="shared" ref="V3:V66" si="10">T3-U3</f>
        <v>0</v>
      </c>
      <c r="W3" s="56" t="e">
        <f>IF(#REF!&gt;DATE(2010,9,30),ROUNDUP(ABS( V3/U3 ),3),ROUNDUP(ABS( (T3-T4)/T4 ),3))</f>
        <v>#REF!</v>
      </c>
      <c r="X3" s="49" t="e">
        <f t="shared" ref="X3:X66" si="11">ROUND(ROUND(AVERAGE(W3:W32),4)+2.575*ROUND(STDEV(W3:W32),4),4)</f>
        <v>#REF!</v>
      </c>
      <c r="Y3" s="49" t="e">
        <f t="shared" ref="Y3:Y66" si="12">ROUND(ROUND(AVERAGE(W3:W62),4)+2.575*ROUND(STDEV(W3:W62),4),4)</f>
        <v>#REF!</v>
      </c>
      <c r="Z3" s="49" t="e">
        <f t="shared" ref="Z3:Z66" si="13">ROUND(ROUND(AVERAGE(W3:W92),4)+2.575*ROUND(STDEV(W3:W92),4),4)</f>
        <v>#REF!</v>
      </c>
      <c r="AA3" s="49" t="e">
        <f t="shared" ref="AA3:AA66" si="14">ROUND(ROUND(AVERAGE(W3:W182),4)+2.575*ROUND(STDEV(W3:W182),4),4)</f>
        <v>#REF!</v>
      </c>
      <c r="AB3" s="16" t="e">
        <f>ROUND(MAX(AVERAGE(X3:AA3),AB$1),4)</f>
        <v>#REF!</v>
      </c>
      <c r="AC3" s="46"/>
      <c r="AD3" s="46"/>
      <c r="AE3" s="50" t="e">
        <f t="shared" ref="AE3:AE66" si="15">T3*AB3*AC3</f>
        <v>#REF!</v>
      </c>
      <c r="AF3" s="51" t="e">
        <f t="shared" ref="AF3:AF66" si="16">ROUNDUP((AE3-AD3)/AD3,3)</f>
        <v>#REF!</v>
      </c>
      <c r="AG3" s="62" t="e">
        <f t="shared" ref="AG3:AG66" si="17">ROUNDUP(AE3/1000,0)*1000</f>
        <v>#REF!</v>
      </c>
      <c r="AH3" s="17" t="e">
        <f t="shared" ref="AH3:AH66" si="18">ROUNDUP((AG3-AD3)/AD3,3)</f>
        <v>#REF!</v>
      </c>
    </row>
    <row r="4" spans="1:34">
      <c r="A4" s="112"/>
      <c r="B4" s="113"/>
      <c r="C4" s="113"/>
      <c r="D4" s="114">
        <f t="shared" si="0"/>
        <v>0</v>
      </c>
      <c r="E4" s="19" t="e">
        <f t="shared" si="1"/>
        <v>#DIV/0!</v>
      </c>
      <c r="F4" s="16" t="e">
        <f t="shared" si="2"/>
        <v>#DIV/0!</v>
      </c>
      <c r="G4" s="16" t="e">
        <f t="shared" si="3"/>
        <v>#DIV/0!</v>
      </c>
      <c r="H4" s="16" t="e">
        <f t="shared" si="4"/>
        <v>#DIV/0!</v>
      </c>
      <c r="I4" s="16" t="e">
        <f t="shared" si="5"/>
        <v>#DIV/0!</v>
      </c>
      <c r="J4" s="16" t="e">
        <f t="shared" si="5"/>
        <v>#DIV/0!</v>
      </c>
      <c r="K4" s="16" t="e">
        <f t="shared" ref="K4:K67" si="19">AVERAGE(F4:J4)</f>
        <v>#DIV/0!</v>
      </c>
      <c r="L4" s="16" t="e">
        <f t="shared" ref="L4:L67" si="20">ROUND(MAX(AVERAGE(F4:J4),M$1),4)</f>
        <v>#DIV/0!</v>
      </c>
      <c r="M4" s="104"/>
      <c r="N4" s="104"/>
      <c r="O4" s="47" t="e">
        <f t="shared" si="6"/>
        <v>#DIV/0!</v>
      </c>
      <c r="P4" s="17" t="e">
        <f t="shared" si="7"/>
        <v>#DIV/0!</v>
      </c>
      <c r="Q4" s="62" t="e">
        <f t="shared" si="8"/>
        <v>#DIV/0!</v>
      </c>
      <c r="R4" s="17" t="e">
        <f t="shared" si="9"/>
        <v>#DIV/0!</v>
      </c>
      <c r="S4" s="45"/>
      <c r="T4" s="48"/>
      <c r="U4" s="48"/>
      <c r="V4" s="18">
        <f t="shared" si="10"/>
        <v>0</v>
      </c>
      <c r="W4" s="56" t="e">
        <f>IF(#REF!&gt;DATE(2010,9,30),ROUNDUP(ABS( V4/U4 ),3),ROUNDUP(ABS( (T4-T5)/T5 ),3))</f>
        <v>#REF!</v>
      </c>
      <c r="X4" s="49" t="e">
        <f t="shared" si="11"/>
        <v>#REF!</v>
      </c>
      <c r="Y4" s="49" t="e">
        <f t="shared" si="12"/>
        <v>#REF!</v>
      </c>
      <c r="Z4" s="49" t="e">
        <f t="shared" si="13"/>
        <v>#REF!</v>
      </c>
      <c r="AA4" s="49" t="e">
        <f t="shared" si="14"/>
        <v>#REF!</v>
      </c>
      <c r="AB4" s="16" t="e">
        <f>IF(S4&gt;=#REF!,ROUND(MAX(AVERAGE(X4:AA4),AB$1),4),ROUND(MAX(AVERAGE(X4:AA4),AC$1),4))</f>
        <v>#REF!</v>
      </c>
      <c r="AC4" s="46"/>
      <c r="AD4" s="46"/>
      <c r="AE4" s="50" t="e">
        <f t="shared" si="15"/>
        <v>#REF!</v>
      </c>
      <c r="AF4" s="51" t="e">
        <f t="shared" si="16"/>
        <v>#REF!</v>
      </c>
      <c r="AG4" s="62" t="e">
        <f t="shared" si="17"/>
        <v>#REF!</v>
      </c>
      <c r="AH4" s="17" t="e">
        <f t="shared" si="18"/>
        <v>#REF!</v>
      </c>
    </row>
    <row r="5" spans="1:34">
      <c r="A5" s="112"/>
      <c r="B5" s="113"/>
      <c r="C5" s="113"/>
      <c r="D5" s="114">
        <f t="shared" si="0"/>
        <v>0</v>
      </c>
      <c r="E5" s="19" t="e">
        <f t="shared" si="1"/>
        <v>#DIV/0!</v>
      </c>
      <c r="F5" s="16" t="e">
        <f t="shared" si="2"/>
        <v>#DIV/0!</v>
      </c>
      <c r="G5" s="16" t="e">
        <f t="shared" si="3"/>
        <v>#DIV/0!</v>
      </c>
      <c r="H5" s="16" t="e">
        <f t="shared" si="4"/>
        <v>#DIV/0!</v>
      </c>
      <c r="I5" s="16" t="e">
        <f t="shared" si="5"/>
        <v>#DIV/0!</v>
      </c>
      <c r="J5" s="16" t="e">
        <f t="shared" si="5"/>
        <v>#DIV/0!</v>
      </c>
      <c r="K5" s="16" t="e">
        <f t="shared" si="19"/>
        <v>#DIV/0!</v>
      </c>
      <c r="L5" s="16" t="e">
        <f t="shared" si="20"/>
        <v>#DIV/0!</v>
      </c>
      <c r="M5" s="104"/>
      <c r="N5" s="104"/>
      <c r="O5" s="47" t="e">
        <f t="shared" si="6"/>
        <v>#DIV/0!</v>
      </c>
      <c r="P5" s="17" t="e">
        <f t="shared" si="7"/>
        <v>#DIV/0!</v>
      </c>
      <c r="Q5" s="62" t="e">
        <f t="shared" si="8"/>
        <v>#DIV/0!</v>
      </c>
      <c r="R5" s="17" t="e">
        <f t="shared" si="9"/>
        <v>#DIV/0!</v>
      </c>
      <c r="S5" s="45"/>
      <c r="T5" s="48"/>
      <c r="U5" s="48"/>
      <c r="V5" s="18">
        <f t="shared" si="10"/>
        <v>0</v>
      </c>
      <c r="W5" s="56" t="e">
        <f>IF(#REF!&gt;DATE(2010,9,30),ROUNDUP(ABS( V5/U5 ),3),ROUNDUP(ABS( (T5-T6)/T6 ),3))</f>
        <v>#REF!</v>
      </c>
      <c r="X5" s="49" t="e">
        <f t="shared" si="11"/>
        <v>#REF!</v>
      </c>
      <c r="Y5" s="49" t="e">
        <f t="shared" si="12"/>
        <v>#REF!</v>
      </c>
      <c r="Z5" s="49" t="e">
        <f t="shared" si="13"/>
        <v>#REF!</v>
      </c>
      <c r="AA5" s="49" t="e">
        <f t="shared" si="14"/>
        <v>#REF!</v>
      </c>
      <c r="AB5" s="16" t="e">
        <f>IF(S5&gt;=#REF!,ROUND(MAX(AVERAGE(X5:AA5),AB$1),4),ROUND(MAX(AVERAGE(X5:AA5),AC$1),4))</f>
        <v>#REF!</v>
      </c>
      <c r="AC5" s="46"/>
      <c r="AD5" s="46"/>
      <c r="AE5" s="50" t="e">
        <f t="shared" si="15"/>
        <v>#REF!</v>
      </c>
      <c r="AF5" s="51" t="e">
        <f t="shared" si="16"/>
        <v>#REF!</v>
      </c>
      <c r="AG5" s="62" t="e">
        <f t="shared" si="17"/>
        <v>#REF!</v>
      </c>
      <c r="AH5" s="17" t="e">
        <f t="shared" si="18"/>
        <v>#REF!</v>
      </c>
    </row>
    <row r="6" spans="1:34">
      <c r="A6" s="112"/>
      <c r="B6" s="113"/>
      <c r="C6" s="113"/>
      <c r="D6" s="114">
        <f t="shared" si="0"/>
        <v>0</v>
      </c>
      <c r="E6" s="19" t="e">
        <f t="shared" si="1"/>
        <v>#DIV/0!</v>
      </c>
      <c r="F6" s="16" t="e">
        <f t="shared" si="2"/>
        <v>#DIV/0!</v>
      </c>
      <c r="G6" s="16" t="e">
        <f t="shared" si="3"/>
        <v>#DIV/0!</v>
      </c>
      <c r="H6" s="16" t="e">
        <f t="shared" si="4"/>
        <v>#DIV/0!</v>
      </c>
      <c r="I6" s="16" t="e">
        <f t="shared" si="5"/>
        <v>#DIV/0!</v>
      </c>
      <c r="J6" s="16" t="e">
        <f t="shared" si="5"/>
        <v>#DIV/0!</v>
      </c>
      <c r="K6" s="16" t="e">
        <f t="shared" si="19"/>
        <v>#DIV/0!</v>
      </c>
      <c r="L6" s="16" t="e">
        <f t="shared" si="20"/>
        <v>#DIV/0!</v>
      </c>
      <c r="M6" s="104"/>
      <c r="N6" s="104"/>
      <c r="O6" s="47" t="e">
        <f t="shared" si="6"/>
        <v>#DIV/0!</v>
      </c>
      <c r="P6" s="17" t="e">
        <f t="shared" si="7"/>
        <v>#DIV/0!</v>
      </c>
      <c r="Q6" s="62" t="e">
        <f t="shared" si="8"/>
        <v>#DIV/0!</v>
      </c>
      <c r="R6" s="17" t="e">
        <f t="shared" si="9"/>
        <v>#DIV/0!</v>
      </c>
      <c r="S6" s="45"/>
      <c r="T6" s="48"/>
      <c r="U6" s="48"/>
      <c r="V6" s="18">
        <f t="shared" si="10"/>
        <v>0</v>
      </c>
      <c r="W6" s="56" t="e">
        <f>IF(#REF!&gt;DATE(2010,9,30),ROUNDUP(ABS( V6/U6 ),3),ROUNDUP(ABS( (T6-T7)/T7 ),3))</f>
        <v>#REF!</v>
      </c>
      <c r="X6" s="49" t="e">
        <f t="shared" si="11"/>
        <v>#REF!</v>
      </c>
      <c r="Y6" s="49" t="e">
        <f t="shared" si="12"/>
        <v>#REF!</v>
      </c>
      <c r="Z6" s="49" t="e">
        <f t="shared" si="13"/>
        <v>#REF!</v>
      </c>
      <c r="AA6" s="49" t="e">
        <f t="shared" si="14"/>
        <v>#REF!</v>
      </c>
      <c r="AB6" s="16" t="e">
        <f>IF(S6&gt;=#REF!,ROUND(MAX(AVERAGE(X6:AA6),AB$1),4),ROUND(MAX(AVERAGE(X6:AA6),AC$1),4))</f>
        <v>#REF!</v>
      </c>
      <c r="AC6" s="46"/>
      <c r="AD6" s="46"/>
      <c r="AE6" s="50" t="e">
        <f t="shared" si="15"/>
        <v>#REF!</v>
      </c>
      <c r="AF6" s="51" t="e">
        <f t="shared" si="16"/>
        <v>#REF!</v>
      </c>
      <c r="AG6" s="62" t="e">
        <f t="shared" si="17"/>
        <v>#REF!</v>
      </c>
      <c r="AH6" s="17" t="e">
        <f t="shared" si="18"/>
        <v>#REF!</v>
      </c>
    </row>
    <row r="7" spans="1:34">
      <c r="A7" s="112"/>
      <c r="B7" s="113"/>
      <c r="C7" s="113"/>
      <c r="D7" s="114">
        <f t="shared" si="0"/>
        <v>0</v>
      </c>
      <c r="E7" s="19" t="e">
        <f t="shared" si="1"/>
        <v>#DIV/0!</v>
      </c>
      <c r="F7" s="16" t="e">
        <f t="shared" si="2"/>
        <v>#DIV/0!</v>
      </c>
      <c r="G7" s="16" t="e">
        <f t="shared" si="3"/>
        <v>#DIV/0!</v>
      </c>
      <c r="H7" s="16" t="e">
        <f t="shared" si="4"/>
        <v>#DIV/0!</v>
      </c>
      <c r="I7" s="16" t="e">
        <f t="shared" si="5"/>
        <v>#DIV/0!</v>
      </c>
      <c r="J7" s="16" t="e">
        <f t="shared" si="5"/>
        <v>#DIV/0!</v>
      </c>
      <c r="K7" s="16" t="e">
        <f t="shared" si="19"/>
        <v>#DIV/0!</v>
      </c>
      <c r="L7" s="16" t="e">
        <f t="shared" si="20"/>
        <v>#DIV/0!</v>
      </c>
      <c r="M7" s="104"/>
      <c r="N7" s="104"/>
      <c r="O7" s="47" t="e">
        <f t="shared" si="6"/>
        <v>#DIV/0!</v>
      </c>
      <c r="P7" s="17" t="e">
        <f t="shared" si="7"/>
        <v>#DIV/0!</v>
      </c>
      <c r="Q7" s="62" t="e">
        <f t="shared" si="8"/>
        <v>#DIV/0!</v>
      </c>
      <c r="R7" s="17" t="e">
        <f t="shared" si="9"/>
        <v>#DIV/0!</v>
      </c>
      <c r="S7" s="45"/>
      <c r="T7" s="48"/>
      <c r="U7" s="48"/>
      <c r="V7" s="18">
        <f t="shared" si="10"/>
        <v>0</v>
      </c>
      <c r="W7" s="56" t="e">
        <f>IF(#REF!&gt;DATE(2010,9,30),ROUNDUP(ABS( V7/U7 ),3),ROUNDUP(ABS( (T7-T8)/T8 ),3))</f>
        <v>#REF!</v>
      </c>
      <c r="X7" s="49" t="e">
        <f t="shared" si="11"/>
        <v>#REF!</v>
      </c>
      <c r="Y7" s="49" t="e">
        <f t="shared" si="12"/>
        <v>#REF!</v>
      </c>
      <c r="Z7" s="49" t="e">
        <f t="shared" si="13"/>
        <v>#REF!</v>
      </c>
      <c r="AA7" s="49" t="e">
        <f t="shared" si="14"/>
        <v>#REF!</v>
      </c>
      <c r="AB7" s="16" t="e">
        <f>IF(S7&gt;=#REF!,ROUND(MAX(AVERAGE(X7:AA7),AB$1),4),ROUND(MAX(AVERAGE(X7:AA7),AC$1),4))</f>
        <v>#REF!</v>
      </c>
      <c r="AC7" s="46"/>
      <c r="AD7" s="46"/>
      <c r="AE7" s="50" t="e">
        <f t="shared" si="15"/>
        <v>#REF!</v>
      </c>
      <c r="AF7" s="51" t="e">
        <f t="shared" si="16"/>
        <v>#REF!</v>
      </c>
      <c r="AG7" s="62" t="e">
        <f t="shared" si="17"/>
        <v>#REF!</v>
      </c>
      <c r="AH7" s="17" t="e">
        <f t="shared" si="18"/>
        <v>#REF!</v>
      </c>
    </row>
    <row r="8" spans="1:34">
      <c r="A8" s="112"/>
      <c r="B8" s="113"/>
      <c r="C8" s="113"/>
      <c r="D8" s="114">
        <f t="shared" si="0"/>
        <v>0</v>
      </c>
      <c r="E8" s="19" t="e">
        <f t="shared" si="1"/>
        <v>#DIV/0!</v>
      </c>
      <c r="F8" s="16" t="e">
        <f t="shared" si="2"/>
        <v>#DIV/0!</v>
      </c>
      <c r="G8" s="16" t="e">
        <f t="shared" si="3"/>
        <v>#DIV/0!</v>
      </c>
      <c r="H8" s="16" t="e">
        <f t="shared" si="4"/>
        <v>#DIV/0!</v>
      </c>
      <c r="I8" s="16" t="e">
        <f t="shared" si="5"/>
        <v>#DIV/0!</v>
      </c>
      <c r="J8" s="16" t="e">
        <f t="shared" si="5"/>
        <v>#DIV/0!</v>
      </c>
      <c r="K8" s="16" t="e">
        <f t="shared" si="19"/>
        <v>#DIV/0!</v>
      </c>
      <c r="L8" s="16" t="e">
        <f t="shared" si="20"/>
        <v>#DIV/0!</v>
      </c>
      <c r="M8" s="104"/>
      <c r="N8" s="104"/>
      <c r="O8" s="47" t="e">
        <f t="shared" si="6"/>
        <v>#DIV/0!</v>
      </c>
      <c r="P8" s="17" t="e">
        <f t="shared" si="7"/>
        <v>#DIV/0!</v>
      </c>
      <c r="Q8" s="62" t="e">
        <f t="shared" si="8"/>
        <v>#DIV/0!</v>
      </c>
      <c r="R8" s="17" t="e">
        <f t="shared" si="9"/>
        <v>#DIV/0!</v>
      </c>
      <c r="S8" s="45"/>
      <c r="T8" s="48"/>
      <c r="U8" s="48"/>
      <c r="V8" s="18">
        <f t="shared" si="10"/>
        <v>0</v>
      </c>
      <c r="W8" s="56" t="e">
        <f>IF(#REF!&gt;DATE(2010,9,30),ROUNDUP(ABS( V8/U8 ),3),ROUNDUP(ABS( (T8-T9)/T9 ),3))</f>
        <v>#REF!</v>
      </c>
      <c r="X8" s="49" t="e">
        <f t="shared" si="11"/>
        <v>#REF!</v>
      </c>
      <c r="Y8" s="49" t="e">
        <f t="shared" si="12"/>
        <v>#REF!</v>
      </c>
      <c r="Z8" s="49" t="e">
        <f t="shared" si="13"/>
        <v>#REF!</v>
      </c>
      <c r="AA8" s="49" t="e">
        <f t="shared" si="14"/>
        <v>#REF!</v>
      </c>
      <c r="AB8" s="16" t="e">
        <f>IF(S8&gt;=#REF!,ROUND(MAX(AVERAGE(X8:AA8),AB$1),4),ROUND(MAX(AVERAGE(X8:AA8),AC$1),4))</f>
        <v>#REF!</v>
      </c>
      <c r="AC8" s="46"/>
      <c r="AD8" s="46"/>
      <c r="AE8" s="50" t="e">
        <f t="shared" si="15"/>
        <v>#REF!</v>
      </c>
      <c r="AF8" s="51" t="e">
        <f t="shared" si="16"/>
        <v>#REF!</v>
      </c>
      <c r="AG8" s="62" t="e">
        <f t="shared" si="17"/>
        <v>#REF!</v>
      </c>
      <c r="AH8" s="17" t="e">
        <f t="shared" si="18"/>
        <v>#REF!</v>
      </c>
    </row>
    <row r="9" spans="1:34">
      <c r="A9" s="112"/>
      <c r="B9" s="113"/>
      <c r="C9" s="113"/>
      <c r="D9" s="114">
        <f t="shared" si="0"/>
        <v>0</v>
      </c>
      <c r="E9" s="19" t="e">
        <f t="shared" si="1"/>
        <v>#DIV/0!</v>
      </c>
      <c r="F9" s="16" t="e">
        <f t="shared" si="2"/>
        <v>#DIV/0!</v>
      </c>
      <c r="G9" s="16" t="e">
        <f t="shared" si="3"/>
        <v>#DIV/0!</v>
      </c>
      <c r="H9" s="16" t="e">
        <f t="shared" si="4"/>
        <v>#DIV/0!</v>
      </c>
      <c r="I9" s="16" t="e">
        <f t="shared" si="5"/>
        <v>#DIV/0!</v>
      </c>
      <c r="J9" s="16" t="e">
        <f t="shared" si="5"/>
        <v>#DIV/0!</v>
      </c>
      <c r="K9" s="16" t="e">
        <f t="shared" si="19"/>
        <v>#DIV/0!</v>
      </c>
      <c r="L9" s="16" t="e">
        <f t="shared" si="20"/>
        <v>#DIV/0!</v>
      </c>
      <c r="M9" s="104"/>
      <c r="N9" s="104"/>
      <c r="O9" s="47" t="e">
        <f t="shared" si="6"/>
        <v>#DIV/0!</v>
      </c>
      <c r="P9" s="17" t="e">
        <f t="shared" si="7"/>
        <v>#DIV/0!</v>
      </c>
      <c r="Q9" s="62" t="e">
        <f t="shared" si="8"/>
        <v>#DIV/0!</v>
      </c>
      <c r="R9" s="17" t="e">
        <f t="shared" si="9"/>
        <v>#DIV/0!</v>
      </c>
      <c r="S9" s="45"/>
      <c r="T9" s="48"/>
      <c r="U9" s="48"/>
      <c r="V9" s="18">
        <f t="shared" si="10"/>
        <v>0</v>
      </c>
      <c r="W9" s="56" t="e">
        <f>IF(#REF!&gt;DATE(2010,9,30),ROUNDUP(ABS( V9/U9 ),3),ROUNDUP(ABS( (T9-T10)/T10 ),3))</f>
        <v>#REF!</v>
      </c>
      <c r="X9" s="49" t="e">
        <f t="shared" si="11"/>
        <v>#REF!</v>
      </c>
      <c r="Y9" s="49" t="e">
        <f t="shared" si="12"/>
        <v>#REF!</v>
      </c>
      <c r="Z9" s="49" t="e">
        <f t="shared" si="13"/>
        <v>#REF!</v>
      </c>
      <c r="AA9" s="49" t="e">
        <f t="shared" si="14"/>
        <v>#REF!</v>
      </c>
      <c r="AB9" s="16" t="e">
        <f>IF(S9&gt;=#REF!,ROUND(MAX(AVERAGE(X9:AA9),AB$1),4),ROUND(MAX(AVERAGE(X9:AA9),AC$1),4))</f>
        <v>#REF!</v>
      </c>
      <c r="AC9" s="46"/>
      <c r="AD9" s="46"/>
      <c r="AE9" s="50" t="e">
        <f t="shared" si="15"/>
        <v>#REF!</v>
      </c>
      <c r="AF9" s="51" t="e">
        <f t="shared" si="16"/>
        <v>#REF!</v>
      </c>
      <c r="AG9" s="62" t="e">
        <f t="shared" si="17"/>
        <v>#REF!</v>
      </c>
      <c r="AH9" s="17" t="e">
        <f t="shared" si="18"/>
        <v>#REF!</v>
      </c>
    </row>
    <row r="10" spans="1:34">
      <c r="A10" s="112"/>
      <c r="B10" s="113"/>
      <c r="C10" s="113"/>
      <c r="D10" s="114">
        <f t="shared" si="0"/>
        <v>0</v>
      </c>
      <c r="E10" s="19" t="e">
        <f t="shared" si="1"/>
        <v>#DIV/0!</v>
      </c>
      <c r="F10" s="16" t="e">
        <f t="shared" si="2"/>
        <v>#DIV/0!</v>
      </c>
      <c r="G10" s="16" t="e">
        <f t="shared" si="3"/>
        <v>#DIV/0!</v>
      </c>
      <c r="H10" s="16" t="e">
        <f t="shared" si="4"/>
        <v>#DIV/0!</v>
      </c>
      <c r="I10" s="16" t="e">
        <f t="shared" si="5"/>
        <v>#DIV/0!</v>
      </c>
      <c r="J10" s="16" t="e">
        <f t="shared" si="5"/>
        <v>#DIV/0!</v>
      </c>
      <c r="K10" s="16" t="e">
        <f t="shared" si="19"/>
        <v>#DIV/0!</v>
      </c>
      <c r="L10" s="16" t="e">
        <f t="shared" si="20"/>
        <v>#DIV/0!</v>
      </c>
      <c r="M10" s="104"/>
      <c r="N10" s="104"/>
      <c r="O10" s="47" t="e">
        <f t="shared" si="6"/>
        <v>#DIV/0!</v>
      </c>
      <c r="P10" s="17" t="e">
        <f t="shared" si="7"/>
        <v>#DIV/0!</v>
      </c>
      <c r="Q10" s="62" t="e">
        <f t="shared" si="8"/>
        <v>#DIV/0!</v>
      </c>
      <c r="R10" s="17" t="e">
        <f t="shared" si="9"/>
        <v>#DIV/0!</v>
      </c>
      <c r="S10" s="45"/>
      <c r="T10" s="48"/>
      <c r="U10" s="48"/>
      <c r="V10" s="18">
        <f t="shared" si="10"/>
        <v>0</v>
      </c>
      <c r="W10" s="56" t="e">
        <f>IF(#REF!&gt;DATE(2010,9,30),ROUNDUP(ABS( V10/U10 ),3),ROUNDUP(ABS( (T10-T11)/T11 ),3))</f>
        <v>#REF!</v>
      </c>
      <c r="X10" s="49" t="e">
        <f t="shared" si="11"/>
        <v>#REF!</v>
      </c>
      <c r="Y10" s="49" t="e">
        <f t="shared" si="12"/>
        <v>#REF!</v>
      </c>
      <c r="Z10" s="49" t="e">
        <f t="shared" si="13"/>
        <v>#REF!</v>
      </c>
      <c r="AA10" s="49" t="e">
        <f t="shared" si="14"/>
        <v>#REF!</v>
      </c>
      <c r="AB10" s="16" t="e">
        <f>IF(S10&gt;=#REF!,ROUND(MAX(AVERAGE(X10:AA10),AB$1),4),ROUND(MAX(AVERAGE(X10:AA10),AC$1),4))</f>
        <v>#REF!</v>
      </c>
      <c r="AC10" s="46"/>
      <c r="AD10" s="46"/>
      <c r="AE10" s="50" t="e">
        <f t="shared" si="15"/>
        <v>#REF!</v>
      </c>
      <c r="AF10" s="51" t="e">
        <f t="shared" si="16"/>
        <v>#REF!</v>
      </c>
      <c r="AG10" s="62" t="e">
        <f t="shared" si="17"/>
        <v>#REF!</v>
      </c>
      <c r="AH10" s="17" t="e">
        <f t="shared" si="18"/>
        <v>#REF!</v>
      </c>
    </row>
    <row r="11" spans="1:34">
      <c r="A11" s="112"/>
      <c r="B11" s="113"/>
      <c r="C11" s="113"/>
      <c r="D11" s="114">
        <f t="shared" si="0"/>
        <v>0</v>
      </c>
      <c r="E11" s="19" t="e">
        <f t="shared" si="1"/>
        <v>#DIV/0!</v>
      </c>
      <c r="F11" s="16" t="e">
        <f t="shared" si="2"/>
        <v>#DIV/0!</v>
      </c>
      <c r="G11" s="16" t="e">
        <f t="shared" si="3"/>
        <v>#DIV/0!</v>
      </c>
      <c r="H11" s="16" t="e">
        <f t="shared" si="4"/>
        <v>#DIV/0!</v>
      </c>
      <c r="I11" s="16" t="e">
        <f t="shared" si="5"/>
        <v>#DIV/0!</v>
      </c>
      <c r="J11" s="16" t="e">
        <f t="shared" si="5"/>
        <v>#DIV/0!</v>
      </c>
      <c r="K11" s="16" t="e">
        <f t="shared" si="19"/>
        <v>#DIV/0!</v>
      </c>
      <c r="L11" s="16" t="e">
        <f t="shared" si="20"/>
        <v>#DIV/0!</v>
      </c>
      <c r="M11" s="104"/>
      <c r="N11" s="104"/>
      <c r="O11" s="47" t="e">
        <f t="shared" si="6"/>
        <v>#DIV/0!</v>
      </c>
      <c r="P11" s="17" t="e">
        <f t="shared" si="7"/>
        <v>#DIV/0!</v>
      </c>
      <c r="Q11" s="62" t="e">
        <f t="shared" si="8"/>
        <v>#DIV/0!</v>
      </c>
      <c r="R11" s="17" t="e">
        <f t="shared" si="9"/>
        <v>#DIV/0!</v>
      </c>
      <c r="S11" s="45"/>
      <c r="T11" s="48"/>
      <c r="U11" s="48"/>
      <c r="V11" s="18">
        <f t="shared" si="10"/>
        <v>0</v>
      </c>
      <c r="W11" s="56" t="e">
        <f>IF(#REF!&gt;DATE(2010,9,30),ROUNDUP(ABS( V11/U11 ),3),ROUNDUP(ABS( (T11-T12)/T12 ),3))</f>
        <v>#REF!</v>
      </c>
      <c r="X11" s="49" t="e">
        <f t="shared" si="11"/>
        <v>#REF!</v>
      </c>
      <c r="Y11" s="49" t="e">
        <f t="shared" si="12"/>
        <v>#REF!</v>
      </c>
      <c r="Z11" s="49" t="e">
        <f t="shared" si="13"/>
        <v>#REF!</v>
      </c>
      <c r="AA11" s="49" t="e">
        <f t="shared" si="14"/>
        <v>#REF!</v>
      </c>
      <c r="AB11" s="16" t="e">
        <f>IF(S11&gt;=#REF!,ROUND(MAX(AVERAGE(X11:AA11),AB$1),4),ROUND(MAX(AVERAGE(X11:AA11),AC$1),4))</f>
        <v>#REF!</v>
      </c>
      <c r="AC11" s="46"/>
      <c r="AD11" s="46"/>
      <c r="AE11" s="50" t="e">
        <f t="shared" si="15"/>
        <v>#REF!</v>
      </c>
      <c r="AF11" s="51" t="e">
        <f t="shared" si="16"/>
        <v>#REF!</v>
      </c>
      <c r="AG11" s="62" t="e">
        <f t="shared" si="17"/>
        <v>#REF!</v>
      </c>
      <c r="AH11" s="17" t="e">
        <f t="shared" si="18"/>
        <v>#REF!</v>
      </c>
    </row>
    <row r="12" spans="1:34">
      <c r="A12" s="112"/>
      <c r="B12" s="113"/>
      <c r="C12" s="113"/>
      <c r="D12" s="114">
        <f t="shared" si="0"/>
        <v>0</v>
      </c>
      <c r="E12" s="19" t="e">
        <f t="shared" si="1"/>
        <v>#DIV/0!</v>
      </c>
      <c r="F12" s="16" t="e">
        <f t="shared" si="2"/>
        <v>#DIV/0!</v>
      </c>
      <c r="G12" s="16" t="e">
        <f t="shared" si="3"/>
        <v>#DIV/0!</v>
      </c>
      <c r="H12" s="16" t="e">
        <f t="shared" si="4"/>
        <v>#DIV/0!</v>
      </c>
      <c r="I12" s="16" t="e">
        <f t="shared" si="5"/>
        <v>#DIV/0!</v>
      </c>
      <c r="J12" s="16" t="e">
        <f t="shared" si="5"/>
        <v>#DIV/0!</v>
      </c>
      <c r="K12" s="16" t="e">
        <f t="shared" si="19"/>
        <v>#DIV/0!</v>
      </c>
      <c r="L12" s="16" t="e">
        <f t="shared" si="20"/>
        <v>#DIV/0!</v>
      </c>
      <c r="M12" s="104"/>
      <c r="N12" s="104"/>
      <c r="O12" s="47" t="e">
        <f t="shared" si="6"/>
        <v>#DIV/0!</v>
      </c>
      <c r="P12" s="17" t="e">
        <f t="shared" si="7"/>
        <v>#DIV/0!</v>
      </c>
      <c r="Q12" s="62" t="e">
        <f t="shared" si="8"/>
        <v>#DIV/0!</v>
      </c>
      <c r="R12" s="17" t="e">
        <f t="shared" si="9"/>
        <v>#DIV/0!</v>
      </c>
      <c r="S12" s="45"/>
      <c r="T12" s="48"/>
      <c r="U12" s="48"/>
      <c r="V12" s="18">
        <f t="shared" si="10"/>
        <v>0</v>
      </c>
      <c r="W12" s="56" t="e">
        <f>IF(#REF!&gt;DATE(2010,9,30),ROUNDUP(ABS( V12/U12 ),3),ROUNDUP(ABS( (T12-T13)/T13 ),3))</f>
        <v>#REF!</v>
      </c>
      <c r="X12" s="49" t="e">
        <f t="shared" si="11"/>
        <v>#REF!</v>
      </c>
      <c r="Y12" s="49" t="e">
        <f t="shared" si="12"/>
        <v>#REF!</v>
      </c>
      <c r="Z12" s="49" t="e">
        <f t="shared" si="13"/>
        <v>#REF!</v>
      </c>
      <c r="AA12" s="49" t="e">
        <f t="shared" si="14"/>
        <v>#REF!</v>
      </c>
      <c r="AB12" s="16" t="e">
        <f>IF(S12&gt;=#REF!,ROUND(MAX(AVERAGE(X12:AA12),AB$1),4),ROUND(MAX(AVERAGE(X12:AA12),AC$1),4))</f>
        <v>#REF!</v>
      </c>
      <c r="AC12" s="46"/>
      <c r="AD12" s="46"/>
      <c r="AE12" s="50" t="e">
        <f t="shared" si="15"/>
        <v>#REF!</v>
      </c>
      <c r="AF12" s="51" t="e">
        <f t="shared" si="16"/>
        <v>#REF!</v>
      </c>
      <c r="AG12" s="62" t="e">
        <f t="shared" si="17"/>
        <v>#REF!</v>
      </c>
      <c r="AH12" s="17" t="e">
        <f t="shared" si="18"/>
        <v>#REF!</v>
      </c>
    </row>
    <row r="13" spans="1:34">
      <c r="A13" s="112"/>
      <c r="B13" s="113"/>
      <c r="C13" s="113"/>
      <c r="D13" s="114">
        <f t="shared" si="0"/>
        <v>0</v>
      </c>
      <c r="E13" s="19" t="e">
        <f t="shared" si="1"/>
        <v>#DIV/0!</v>
      </c>
      <c r="F13" s="16" t="e">
        <f t="shared" si="2"/>
        <v>#DIV/0!</v>
      </c>
      <c r="G13" s="16" t="e">
        <f t="shared" si="3"/>
        <v>#DIV/0!</v>
      </c>
      <c r="H13" s="16" t="e">
        <f t="shared" si="4"/>
        <v>#DIV/0!</v>
      </c>
      <c r="I13" s="16" t="e">
        <f t="shared" si="5"/>
        <v>#DIV/0!</v>
      </c>
      <c r="J13" s="16" t="e">
        <f t="shared" si="5"/>
        <v>#DIV/0!</v>
      </c>
      <c r="K13" s="16" t="e">
        <f t="shared" si="19"/>
        <v>#DIV/0!</v>
      </c>
      <c r="L13" s="16" t="e">
        <f t="shared" si="20"/>
        <v>#DIV/0!</v>
      </c>
      <c r="M13" s="104"/>
      <c r="N13" s="104"/>
      <c r="O13" s="47" t="e">
        <f t="shared" si="6"/>
        <v>#DIV/0!</v>
      </c>
      <c r="P13" s="17" t="e">
        <f t="shared" si="7"/>
        <v>#DIV/0!</v>
      </c>
      <c r="Q13" s="62" t="e">
        <f t="shared" si="8"/>
        <v>#DIV/0!</v>
      </c>
      <c r="R13" s="17" t="e">
        <f t="shared" si="9"/>
        <v>#DIV/0!</v>
      </c>
      <c r="S13" s="45"/>
      <c r="T13" s="48"/>
      <c r="U13" s="48"/>
      <c r="V13" s="18">
        <f t="shared" si="10"/>
        <v>0</v>
      </c>
      <c r="W13" s="56" t="e">
        <f>IF(#REF!&gt;DATE(2010,9,30),ROUNDUP(ABS( V13/U13 ),3),ROUNDUP(ABS( (T13-T14)/T14 ),3))</f>
        <v>#REF!</v>
      </c>
      <c r="X13" s="49" t="e">
        <f t="shared" si="11"/>
        <v>#REF!</v>
      </c>
      <c r="Y13" s="49" t="e">
        <f t="shared" si="12"/>
        <v>#REF!</v>
      </c>
      <c r="Z13" s="49" t="e">
        <f t="shared" si="13"/>
        <v>#REF!</v>
      </c>
      <c r="AA13" s="49" t="e">
        <f t="shared" si="14"/>
        <v>#REF!</v>
      </c>
      <c r="AB13" s="16" t="e">
        <f>IF(S13&gt;=#REF!,ROUND(MAX(AVERAGE(X13:AA13),AB$1),4),ROUND(MAX(AVERAGE(X13:AA13),AC$1),4))</f>
        <v>#REF!</v>
      </c>
      <c r="AC13" s="46"/>
      <c r="AD13" s="46"/>
      <c r="AE13" s="50" t="e">
        <f t="shared" si="15"/>
        <v>#REF!</v>
      </c>
      <c r="AF13" s="51" t="e">
        <f t="shared" si="16"/>
        <v>#REF!</v>
      </c>
      <c r="AG13" s="62" t="e">
        <f t="shared" si="17"/>
        <v>#REF!</v>
      </c>
      <c r="AH13" s="17" t="e">
        <f t="shared" si="18"/>
        <v>#REF!</v>
      </c>
    </row>
    <row r="14" spans="1:34">
      <c r="A14" s="112"/>
      <c r="B14" s="113"/>
      <c r="C14" s="113"/>
      <c r="D14" s="114">
        <f t="shared" si="0"/>
        <v>0</v>
      </c>
      <c r="E14" s="19" t="e">
        <f t="shared" si="1"/>
        <v>#DIV/0!</v>
      </c>
      <c r="F14" s="16" t="e">
        <f t="shared" si="2"/>
        <v>#DIV/0!</v>
      </c>
      <c r="G14" s="16" t="e">
        <f t="shared" si="3"/>
        <v>#DIV/0!</v>
      </c>
      <c r="H14" s="16" t="e">
        <f t="shared" si="4"/>
        <v>#DIV/0!</v>
      </c>
      <c r="I14" s="16" t="e">
        <f t="shared" si="5"/>
        <v>#DIV/0!</v>
      </c>
      <c r="J14" s="16" t="e">
        <f t="shared" si="5"/>
        <v>#DIV/0!</v>
      </c>
      <c r="K14" s="16" t="e">
        <f t="shared" si="19"/>
        <v>#DIV/0!</v>
      </c>
      <c r="L14" s="16" t="e">
        <f t="shared" si="20"/>
        <v>#DIV/0!</v>
      </c>
      <c r="M14" s="104"/>
      <c r="N14" s="104"/>
      <c r="O14" s="47" t="e">
        <f t="shared" si="6"/>
        <v>#DIV/0!</v>
      </c>
      <c r="P14" s="17" t="e">
        <f t="shared" si="7"/>
        <v>#DIV/0!</v>
      </c>
      <c r="Q14" s="62" t="e">
        <f t="shared" si="8"/>
        <v>#DIV/0!</v>
      </c>
      <c r="R14" s="17" t="e">
        <f t="shared" si="9"/>
        <v>#DIV/0!</v>
      </c>
      <c r="S14" s="45"/>
      <c r="T14" s="48"/>
      <c r="U14" s="48"/>
      <c r="V14" s="18">
        <f t="shared" si="10"/>
        <v>0</v>
      </c>
      <c r="W14" s="56" t="e">
        <f>IF(#REF!&gt;DATE(2010,9,30),ROUNDUP(ABS( V14/U14 ),3),ROUNDUP(ABS( (T14-T15)/T15 ),3))</f>
        <v>#REF!</v>
      </c>
      <c r="X14" s="49" t="e">
        <f t="shared" si="11"/>
        <v>#REF!</v>
      </c>
      <c r="Y14" s="49" t="e">
        <f t="shared" si="12"/>
        <v>#REF!</v>
      </c>
      <c r="Z14" s="49" t="e">
        <f t="shared" si="13"/>
        <v>#REF!</v>
      </c>
      <c r="AA14" s="49" t="e">
        <f t="shared" si="14"/>
        <v>#REF!</v>
      </c>
      <c r="AB14" s="16" t="e">
        <f>IF(S14&gt;=#REF!,ROUND(MAX(AVERAGE(X14:AA14),AB$1),4),ROUND(MAX(AVERAGE(X14:AA14),AC$1),4))</f>
        <v>#REF!</v>
      </c>
      <c r="AC14" s="46"/>
      <c r="AD14" s="46"/>
      <c r="AE14" s="50" t="e">
        <f t="shared" si="15"/>
        <v>#REF!</v>
      </c>
      <c r="AF14" s="51" t="e">
        <f t="shared" si="16"/>
        <v>#REF!</v>
      </c>
      <c r="AG14" s="62" t="e">
        <f t="shared" si="17"/>
        <v>#REF!</v>
      </c>
      <c r="AH14" s="17" t="e">
        <f t="shared" si="18"/>
        <v>#REF!</v>
      </c>
    </row>
    <row r="15" spans="1:34">
      <c r="A15" s="112"/>
      <c r="B15" s="113"/>
      <c r="C15" s="113"/>
      <c r="D15" s="114">
        <f t="shared" si="0"/>
        <v>0</v>
      </c>
      <c r="E15" s="19" t="e">
        <f t="shared" si="1"/>
        <v>#DIV/0!</v>
      </c>
      <c r="F15" s="16" t="e">
        <f t="shared" si="2"/>
        <v>#DIV/0!</v>
      </c>
      <c r="G15" s="16" t="e">
        <f t="shared" si="3"/>
        <v>#DIV/0!</v>
      </c>
      <c r="H15" s="16" t="e">
        <f t="shared" si="4"/>
        <v>#DIV/0!</v>
      </c>
      <c r="I15" s="16" t="e">
        <f t="shared" si="5"/>
        <v>#DIV/0!</v>
      </c>
      <c r="J15" s="16" t="e">
        <f t="shared" si="5"/>
        <v>#DIV/0!</v>
      </c>
      <c r="K15" s="16" t="e">
        <f t="shared" si="19"/>
        <v>#DIV/0!</v>
      </c>
      <c r="L15" s="16" t="e">
        <f t="shared" si="20"/>
        <v>#DIV/0!</v>
      </c>
      <c r="M15" s="104"/>
      <c r="N15" s="104"/>
      <c r="O15" s="47" t="e">
        <f t="shared" si="6"/>
        <v>#DIV/0!</v>
      </c>
      <c r="P15" s="17" t="e">
        <f t="shared" si="7"/>
        <v>#DIV/0!</v>
      </c>
      <c r="Q15" s="62" t="e">
        <f t="shared" si="8"/>
        <v>#DIV/0!</v>
      </c>
      <c r="R15" s="17" t="e">
        <f t="shared" si="9"/>
        <v>#DIV/0!</v>
      </c>
      <c r="S15" s="45"/>
      <c r="T15" s="48"/>
      <c r="U15" s="48"/>
      <c r="V15" s="18">
        <f t="shared" si="10"/>
        <v>0</v>
      </c>
      <c r="W15" s="56" t="e">
        <f>IF(#REF!&gt;DATE(2010,9,30),ROUNDUP(ABS( V15/U15 ),3),ROUNDUP(ABS( (T15-T16)/T16 ),3))</f>
        <v>#REF!</v>
      </c>
      <c r="X15" s="49" t="e">
        <f t="shared" si="11"/>
        <v>#REF!</v>
      </c>
      <c r="Y15" s="49" t="e">
        <f t="shared" si="12"/>
        <v>#REF!</v>
      </c>
      <c r="Z15" s="49" t="e">
        <f t="shared" si="13"/>
        <v>#REF!</v>
      </c>
      <c r="AA15" s="49" t="e">
        <f t="shared" si="14"/>
        <v>#REF!</v>
      </c>
      <c r="AB15" s="16" t="e">
        <f>IF(S15&gt;=#REF!,ROUND(MAX(AVERAGE(X15:AA15),AB$1),4),ROUND(MAX(AVERAGE(X15:AA15),AC$1),4))</f>
        <v>#REF!</v>
      </c>
      <c r="AC15" s="46"/>
      <c r="AD15" s="46"/>
      <c r="AE15" s="50" t="e">
        <f t="shared" si="15"/>
        <v>#REF!</v>
      </c>
      <c r="AF15" s="51" t="e">
        <f t="shared" si="16"/>
        <v>#REF!</v>
      </c>
      <c r="AG15" s="62" t="e">
        <f t="shared" si="17"/>
        <v>#REF!</v>
      </c>
      <c r="AH15" s="17" t="e">
        <f t="shared" si="18"/>
        <v>#REF!</v>
      </c>
    </row>
    <row r="16" spans="1:34">
      <c r="A16" s="112"/>
      <c r="B16" s="113"/>
      <c r="C16" s="113"/>
      <c r="D16" s="114">
        <f t="shared" si="0"/>
        <v>0</v>
      </c>
      <c r="E16" s="19" t="e">
        <f t="shared" si="1"/>
        <v>#DIV/0!</v>
      </c>
      <c r="F16" s="16" t="e">
        <f t="shared" si="2"/>
        <v>#DIV/0!</v>
      </c>
      <c r="G16" s="16" t="e">
        <f t="shared" si="3"/>
        <v>#DIV/0!</v>
      </c>
      <c r="H16" s="16" t="e">
        <f t="shared" si="4"/>
        <v>#DIV/0!</v>
      </c>
      <c r="I16" s="16" t="e">
        <f t="shared" si="5"/>
        <v>#DIV/0!</v>
      </c>
      <c r="J16" s="16" t="e">
        <f t="shared" si="5"/>
        <v>#DIV/0!</v>
      </c>
      <c r="K16" s="16" t="e">
        <f t="shared" si="19"/>
        <v>#DIV/0!</v>
      </c>
      <c r="L16" s="16" t="e">
        <f t="shared" si="20"/>
        <v>#DIV/0!</v>
      </c>
      <c r="M16" s="104"/>
      <c r="N16" s="104"/>
      <c r="O16" s="47" t="e">
        <f t="shared" si="6"/>
        <v>#DIV/0!</v>
      </c>
      <c r="P16" s="17" t="e">
        <f t="shared" si="7"/>
        <v>#DIV/0!</v>
      </c>
      <c r="Q16" s="62" t="e">
        <f t="shared" si="8"/>
        <v>#DIV/0!</v>
      </c>
      <c r="R16" s="17" t="e">
        <f t="shared" si="9"/>
        <v>#DIV/0!</v>
      </c>
      <c r="S16" s="45"/>
      <c r="T16" s="48"/>
      <c r="U16" s="48"/>
      <c r="V16" s="18">
        <f t="shared" si="10"/>
        <v>0</v>
      </c>
      <c r="W16" s="56" t="e">
        <f>IF(#REF!&gt;DATE(2010,9,30),ROUNDUP(ABS( V16/U16 ),3),ROUNDUP(ABS( (T16-T17)/T17 ),3))</f>
        <v>#REF!</v>
      </c>
      <c r="X16" s="49" t="e">
        <f t="shared" si="11"/>
        <v>#REF!</v>
      </c>
      <c r="Y16" s="49" t="e">
        <f t="shared" si="12"/>
        <v>#REF!</v>
      </c>
      <c r="Z16" s="49" t="e">
        <f t="shared" si="13"/>
        <v>#REF!</v>
      </c>
      <c r="AA16" s="49" t="e">
        <f t="shared" si="14"/>
        <v>#REF!</v>
      </c>
      <c r="AB16" s="16" t="e">
        <f>IF(S16&gt;=#REF!,ROUND(MAX(AVERAGE(X16:AA16),AB$1),4),ROUND(MAX(AVERAGE(X16:AA16),AC$1),4))</f>
        <v>#REF!</v>
      </c>
      <c r="AC16" s="46"/>
      <c r="AD16" s="46"/>
      <c r="AE16" s="50" t="e">
        <f t="shared" si="15"/>
        <v>#REF!</v>
      </c>
      <c r="AF16" s="51" t="e">
        <f t="shared" si="16"/>
        <v>#REF!</v>
      </c>
      <c r="AG16" s="62" t="e">
        <f t="shared" si="17"/>
        <v>#REF!</v>
      </c>
      <c r="AH16" s="17" t="e">
        <f t="shared" si="18"/>
        <v>#REF!</v>
      </c>
    </row>
    <row r="17" spans="1:34">
      <c r="A17" s="112"/>
      <c r="B17" s="113"/>
      <c r="C17" s="113"/>
      <c r="D17" s="114">
        <f t="shared" si="0"/>
        <v>0</v>
      </c>
      <c r="E17" s="19" t="e">
        <f t="shared" si="1"/>
        <v>#DIV/0!</v>
      </c>
      <c r="F17" s="16" t="e">
        <f t="shared" si="2"/>
        <v>#DIV/0!</v>
      </c>
      <c r="G17" s="16" t="e">
        <f t="shared" si="3"/>
        <v>#DIV/0!</v>
      </c>
      <c r="H17" s="16" t="e">
        <f t="shared" si="4"/>
        <v>#DIV/0!</v>
      </c>
      <c r="I17" s="16" t="e">
        <f t="shared" si="5"/>
        <v>#DIV/0!</v>
      </c>
      <c r="J17" s="16" t="e">
        <f t="shared" si="5"/>
        <v>#DIV/0!</v>
      </c>
      <c r="K17" s="16" t="e">
        <f t="shared" si="19"/>
        <v>#DIV/0!</v>
      </c>
      <c r="L17" s="16" t="e">
        <f t="shared" si="20"/>
        <v>#DIV/0!</v>
      </c>
      <c r="M17" s="104"/>
      <c r="N17" s="104"/>
      <c r="O17" s="47" t="e">
        <f t="shared" si="6"/>
        <v>#DIV/0!</v>
      </c>
      <c r="P17" s="17" t="e">
        <f t="shared" si="7"/>
        <v>#DIV/0!</v>
      </c>
      <c r="Q17" s="62" t="e">
        <f t="shared" si="8"/>
        <v>#DIV/0!</v>
      </c>
      <c r="R17" s="17" t="e">
        <f t="shared" si="9"/>
        <v>#DIV/0!</v>
      </c>
      <c r="S17" s="45"/>
      <c r="T17" s="48"/>
      <c r="U17" s="48"/>
      <c r="V17" s="18">
        <f t="shared" si="10"/>
        <v>0</v>
      </c>
      <c r="W17" s="56" t="e">
        <f>IF(#REF!&gt;DATE(2010,9,30),ROUNDUP(ABS( V17/U17 ),3),ROUNDUP(ABS( (T17-T18)/T18 ),3))</f>
        <v>#REF!</v>
      </c>
      <c r="X17" s="49" t="e">
        <f t="shared" si="11"/>
        <v>#REF!</v>
      </c>
      <c r="Y17" s="49" t="e">
        <f t="shared" si="12"/>
        <v>#REF!</v>
      </c>
      <c r="Z17" s="49" t="e">
        <f t="shared" si="13"/>
        <v>#REF!</v>
      </c>
      <c r="AA17" s="49" t="e">
        <f t="shared" si="14"/>
        <v>#REF!</v>
      </c>
      <c r="AB17" s="16" t="e">
        <f>IF(S17&gt;=#REF!,ROUND(MAX(AVERAGE(X17:AA17),AB$1),4),ROUND(MAX(AVERAGE(X17:AA17),AC$1),4))</f>
        <v>#REF!</v>
      </c>
      <c r="AC17" s="46"/>
      <c r="AD17" s="46"/>
      <c r="AE17" s="50" t="e">
        <f t="shared" si="15"/>
        <v>#REF!</v>
      </c>
      <c r="AF17" s="51" t="e">
        <f t="shared" si="16"/>
        <v>#REF!</v>
      </c>
      <c r="AG17" s="62" t="e">
        <f t="shared" si="17"/>
        <v>#REF!</v>
      </c>
      <c r="AH17" s="17" t="e">
        <f t="shared" si="18"/>
        <v>#REF!</v>
      </c>
    </row>
    <row r="18" spans="1:34">
      <c r="A18" s="112"/>
      <c r="B18" s="113"/>
      <c r="C18" s="113"/>
      <c r="D18" s="114">
        <f t="shared" si="0"/>
        <v>0</v>
      </c>
      <c r="E18" s="19" t="e">
        <f t="shared" si="1"/>
        <v>#DIV/0!</v>
      </c>
      <c r="F18" s="16" t="e">
        <f t="shared" si="2"/>
        <v>#DIV/0!</v>
      </c>
      <c r="G18" s="16" t="e">
        <f t="shared" si="3"/>
        <v>#DIV/0!</v>
      </c>
      <c r="H18" s="16" t="e">
        <f t="shared" si="4"/>
        <v>#DIV/0!</v>
      </c>
      <c r="I18" s="16" t="e">
        <f t="shared" si="5"/>
        <v>#DIV/0!</v>
      </c>
      <c r="J18" s="16" t="e">
        <f t="shared" si="5"/>
        <v>#DIV/0!</v>
      </c>
      <c r="K18" s="16" t="e">
        <f t="shared" si="19"/>
        <v>#DIV/0!</v>
      </c>
      <c r="L18" s="16" t="e">
        <f t="shared" si="20"/>
        <v>#DIV/0!</v>
      </c>
      <c r="M18" s="104"/>
      <c r="N18" s="104"/>
      <c r="O18" s="47" t="e">
        <f t="shared" si="6"/>
        <v>#DIV/0!</v>
      </c>
      <c r="P18" s="17" t="e">
        <f t="shared" si="7"/>
        <v>#DIV/0!</v>
      </c>
      <c r="Q18" s="62" t="e">
        <f t="shared" si="8"/>
        <v>#DIV/0!</v>
      </c>
      <c r="R18" s="17" t="e">
        <f t="shared" si="9"/>
        <v>#DIV/0!</v>
      </c>
      <c r="S18" s="45"/>
      <c r="T18" s="48"/>
      <c r="U18" s="48"/>
      <c r="V18" s="18">
        <f t="shared" si="10"/>
        <v>0</v>
      </c>
      <c r="W18" s="56" t="e">
        <f>IF(#REF!&gt;DATE(2010,9,30),ROUNDUP(ABS( V18/U18 ),3),ROUNDUP(ABS( (T18-T19)/T19 ),3))</f>
        <v>#REF!</v>
      </c>
      <c r="X18" s="49" t="e">
        <f t="shared" si="11"/>
        <v>#REF!</v>
      </c>
      <c r="Y18" s="49" t="e">
        <f t="shared" si="12"/>
        <v>#REF!</v>
      </c>
      <c r="Z18" s="49" t="e">
        <f t="shared" si="13"/>
        <v>#REF!</v>
      </c>
      <c r="AA18" s="49" t="e">
        <f t="shared" si="14"/>
        <v>#REF!</v>
      </c>
      <c r="AB18" s="16" t="e">
        <f>IF(S18&gt;=#REF!,ROUND(MAX(AVERAGE(X18:AA18),AB$1),4),ROUND(MAX(AVERAGE(X18:AA18),AC$1),4))</f>
        <v>#REF!</v>
      </c>
      <c r="AC18" s="46"/>
      <c r="AD18" s="46"/>
      <c r="AE18" s="50" t="e">
        <f t="shared" si="15"/>
        <v>#REF!</v>
      </c>
      <c r="AF18" s="51" t="e">
        <f t="shared" si="16"/>
        <v>#REF!</v>
      </c>
      <c r="AG18" s="62" t="e">
        <f t="shared" si="17"/>
        <v>#REF!</v>
      </c>
      <c r="AH18" s="17" t="e">
        <f t="shared" si="18"/>
        <v>#REF!</v>
      </c>
    </row>
    <row r="19" spans="1:34">
      <c r="A19" s="112"/>
      <c r="B19" s="113"/>
      <c r="C19" s="113"/>
      <c r="D19" s="114">
        <f t="shared" si="0"/>
        <v>0</v>
      </c>
      <c r="E19" s="19" t="e">
        <f t="shared" si="1"/>
        <v>#DIV/0!</v>
      </c>
      <c r="F19" s="16" t="e">
        <f t="shared" si="2"/>
        <v>#DIV/0!</v>
      </c>
      <c r="G19" s="16" t="e">
        <f t="shared" si="3"/>
        <v>#DIV/0!</v>
      </c>
      <c r="H19" s="16" t="e">
        <f t="shared" si="4"/>
        <v>#DIV/0!</v>
      </c>
      <c r="I19" s="16" t="e">
        <f t="shared" si="5"/>
        <v>#DIV/0!</v>
      </c>
      <c r="J19" s="16" t="e">
        <f t="shared" si="5"/>
        <v>#DIV/0!</v>
      </c>
      <c r="K19" s="16" t="e">
        <f t="shared" si="19"/>
        <v>#DIV/0!</v>
      </c>
      <c r="L19" s="16" t="e">
        <f t="shared" si="20"/>
        <v>#DIV/0!</v>
      </c>
      <c r="M19" s="104"/>
      <c r="N19" s="104"/>
      <c r="O19" s="47" t="e">
        <f t="shared" si="6"/>
        <v>#DIV/0!</v>
      </c>
      <c r="P19" s="17" t="e">
        <f t="shared" si="7"/>
        <v>#DIV/0!</v>
      </c>
      <c r="Q19" s="62" t="e">
        <f t="shared" si="8"/>
        <v>#DIV/0!</v>
      </c>
      <c r="R19" s="17" t="e">
        <f t="shared" si="9"/>
        <v>#DIV/0!</v>
      </c>
      <c r="S19" s="45"/>
      <c r="T19" s="48"/>
      <c r="U19" s="48"/>
      <c r="V19" s="18">
        <f t="shared" si="10"/>
        <v>0</v>
      </c>
      <c r="W19" s="56" t="e">
        <f>IF(#REF!&gt;DATE(2010,9,30),ROUNDUP(ABS( V19/U19 ),3),ROUNDUP(ABS( (T19-T20)/T20 ),3))</f>
        <v>#REF!</v>
      </c>
      <c r="X19" s="49" t="e">
        <f t="shared" si="11"/>
        <v>#REF!</v>
      </c>
      <c r="Y19" s="49" t="e">
        <f t="shared" si="12"/>
        <v>#REF!</v>
      </c>
      <c r="Z19" s="49" t="e">
        <f t="shared" si="13"/>
        <v>#REF!</v>
      </c>
      <c r="AA19" s="49" t="e">
        <f t="shared" si="14"/>
        <v>#REF!</v>
      </c>
      <c r="AB19" s="16" t="e">
        <f>IF(S19&gt;=#REF!,ROUND(MAX(AVERAGE(X19:AA19),AB$1),4),ROUND(MAX(AVERAGE(X19:AA19),AC$1),4))</f>
        <v>#REF!</v>
      </c>
      <c r="AC19" s="46"/>
      <c r="AD19" s="46"/>
      <c r="AE19" s="50" t="e">
        <f t="shared" si="15"/>
        <v>#REF!</v>
      </c>
      <c r="AF19" s="51" t="e">
        <f t="shared" si="16"/>
        <v>#REF!</v>
      </c>
      <c r="AG19" s="62" t="e">
        <f t="shared" si="17"/>
        <v>#REF!</v>
      </c>
      <c r="AH19" s="17" t="e">
        <f t="shared" si="18"/>
        <v>#REF!</v>
      </c>
    </row>
    <row r="20" spans="1:34">
      <c r="A20" s="112"/>
      <c r="B20" s="113"/>
      <c r="C20" s="113"/>
      <c r="D20" s="114">
        <f t="shared" si="0"/>
        <v>0</v>
      </c>
      <c r="E20" s="19" t="e">
        <f t="shared" si="1"/>
        <v>#DIV/0!</v>
      </c>
      <c r="F20" s="16" t="e">
        <f t="shared" si="2"/>
        <v>#DIV/0!</v>
      </c>
      <c r="G20" s="16" t="e">
        <f t="shared" si="3"/>
        <v>#DIV/0!</v>
      </c>
      <c r="H20" s="16" t="e">
        <f t="shared" si="4"/>
        <v>#DIV/0!</v>
      </c>
      <c r="I20" s="16" t="e">
        <f t="shared" si="5"/>
        <v>#DIV/0!</v>
      </c>
      <c r="J20" s="16" t="e">
        <f t="shared" si="5"/>
        <v>#DIV/0!</v>
      </c>
      <c r="K20" s="16" t="e">
        <f t="shared" si="19"/>
        <v>#DIV/0!</v>
      </c>
      <c r="L20" s="16" t="e">
        <f t="shared" si="20"/>
        <v>#DIV/0!</v>
      </c>
      <c r="M20" s="104"/>
      <c r="N20" s="104"/>
      <c r="O20" s="47" t="e">
        <f t="shared" si="6"/>
        <v>#DIV/0!</v>
      </c>
      <c r="P20" s="17" t="e">
        <f t="shared" si="7"/>
        <v>#DIV/0!</v>
      </c>
      <c r="Q20" s="62" t="e">
        <f t="shared" si="8"/>
        <v>#DIV/0!</v>
      </c>
      <c r="R20" s="17" t="e">
        <f t="shared" si="9"/>
        <v>#DIV/0!</v>
      </c>
      <c r="S20" s="45"/>
      <c r="T20" s="48"/>
      <c r="U20" s="48"/>
      <c r="V20" s="18">
        <f t="shared" si="10"/>
        <v>0</v>
      </c>
      <c r="W20" s="56" t="e">
        <f>IF(#REF!&gt;DATE(2010,9,30),ROUNDUP(ABS( V20/U20 ),3),ROUNDUP(ABS( (T20-T21)/T21 ),3))</f>
        <v>#REF!</v>
      </c>
      <c r="X20" s="49" t="e">
        <f t="shared" si="11"/>
        <v>#REF!</v>
      </c>
      <c r="Y20" s="49" t="e">
        <f t="shared" si="12"/>
        <v>#REF!</v>
      </c>
      <c r="Z20" s="49" t="e">
        <f t="shared" si="13"/>
        <v>#REF!</v>
      </c>
      <c r="AA20" s="49" t="e">
        <f t="shared" si="14"/>
        <v>#REF!</v>
      </c>
      <c r="AB20" s="16" t="e">
        <f>IF(S20&gt;=#REF!,ROUND(MAX(AVERAGE(X20:AA20),AB$1),4),ROUND(MAX(AVERAGE(X20:AA20),AC$1),4))</f>
        <v>#REF!</v>
      </c>
      <c r="AC20" s="46"/>
      <c r="AD20" s="46"/>
      <c r="AE20" s="50" t="e">
        <f t="shared" si="15"/>
        <v>#REF!</v>
      </c>
      <c r="AF20" s="51" t="e">
        <f t="shared" si="16"/>
        <v>#REF!</v>
      </c>
      <c r="AG20" s="62" t="e">
        <f t="shared" si="17"/>
        <v>#REF!</v>
      </c>
      <c r="AH20" s="17" t="e">
        <f t="shared" si="18"/>
        <v>#REF!</v>
      </c>
    </row>
    <row r="21" spans="1:34">
      <c r="A21" s="112"/>
      <c r="B21" s="113"/>
      <c r="C21" s="113"/>
      <c r="D21" s="114">
        <f t="shared" si="0"/>
        <v>0</v>
      </c>
      <c r="E21" s="19" t="e">
        <f t="shared" si="1"/>
        <v>#DIV/0!</v>
      </c>
      <c r="F21" s="16" t="e">
        <f t="shared" si="2"/>
        <v>#DIV/0!</v>
      </c>
      <c r="G21" s="16" t="e">
        <f t="shared" si="3"/>
        <v>#DIV/0!</v>
      </c>
      <c r="H21" s="16" t="e">
        <f t="shared" si="4"/>
        <v>#DIV/0!</v>
      </c>
      <c r="I21" s="16" t="e">
        <f t="shared" si="5"/>
        <v>#DIV/0!</v>
      </c>
      <c r="J21" s="16" t="e">
        <f t="shared" si="5"/>
        <v>#DIV/0!</v>
      </c>
      <c r="K21" s="16" t="e">
        <f t="shared" si="19"/>
        <v>#DIV/0!</v>
      </c>
      <c r="L21" s="16" t="e">
        <f t="shared" si="20"/>
        <v>#DIV/0!</v>
      </c>
      <c r="M21" s="104"/>
      <c r="N21" s="104"/>
      <c r="O21" s="47" t="e">
        <f t="shared" si="6"/>
        <v>#DIV/0!</v>
      </c>
      <c r="P21" s="17" t="e">
        <f t="shared" si="7"/>
        <v>#DIV/0!</v>
      </c>
      <c r="Q21" s="62" t="e">
        <f t="shared" si="8"/>
        <v>#DIV/0!</v>
      </c>
      <c r="R21" s="17" t="e">
        <f t="shared" si="9"/>
        <v>#DIV/0!</v>
      </c>
      <c r="S21" s="45"/>
      <c r="T21" s="48"/>
      <c r="U21" s="48"/>
      <c r="V21" s="18">
        <f t="shared" si="10"/>
        <v>0</v>
      </c>
      <c r="W21" s="56" t="e">
        <f>IF(#REF!&gt;DATE(2010,9,30),ROUNDUP(ABS( V21/U21 ),3),ROUNDUP(ABS( (T21-T22)/T22 ),3))</f>
        <v>#REF!</v>
      </c>
      <c r="X21" s="49" t="e">
        <f t="shared" si="11"/>
        <v>#REF!</v>
      </c>
      <c r="Y21" s="49" t="e">
        <f t="shared" si="12"/>
        <v>#REF!</v>
      </c>
      <c r="Z21" s="49" t="e">
        <f t="shared" si="13"/>
        <v>#REF!</v>
      </c>
      <c r="AA21" s="49" t="e">
        <f t="shared" si="14"/>
        <v>#REF!</v>
      </c>
      <c r="AB21" s="16" t="e">
        <f>IF(S21&gt;=#REF!,ROUND(MAX(AVERAGE(X21:AA21),AB$1),4),ROUND(MAX(AVERAGE(X21:AA21),AC$1),4))</f>
        <v>#REF!</v>
      </c>
      <c r="AC21" s="46"/>
      <c r="AD21" s="46"/>
      <c r="AE21" s="50" t="e">
        <f t="shared" si="15"/>
        <v>#REF!</v>
      </c>
      <c r="AF21" s="51" t="e">
        <f t="shared" si="16"/>
        <v>#REF!</v>
      </c>
      <c r="AG21" s="62" t="e">
        <f t="shared" si="17"/>
        <v>#REF!</v>
      </c>
      <c r="AH21" s="17" t="e">
        <f t="shared" si="18"/>
        <v>#REF!</v>
      </c>
    </row>
    <row r="22" spans="1:34">
      <c r="A22" s="112"/>
      <c r="B22" s="113"/>
      <c r="C22" s="113"/>
      <c r="D22" s="114">
        <f t="shared" si="0"/>
        <v>0</v>
      </c>
      <c r="E22" s="19" t="e">
        <f t="shared" si="1"/>
        <v>#DIV/0!</v>
      </c>
      <c r="F22" s="16" t="e">
        <f t="shared" si="2"/>
        <v>#DIV/0!</v>
      </c>
      <c r="G22" s="16" t="e">
        <f t="shared" si="3"/>
        <v>#DIV/0!</v>
      </c>
      <c r="H22" s="16" t="e">
        <f t="shared" si="4"/>
        <v>#DIV/0!</v>
      </c>
      <c r="I22" s="16" t="e">
        <f t="shared" si="5"/>
        <v>#DIV/0!</v>
      </c>
      <c r="J22" s="16" t="e">
        <f t="shared" si="5"/>
        <v>#DIV/0!</v>
      </c>
      <c r="K22" s="16" t="e">
        <f t="shared" si="19"/>
        <v>#DIV/0!</v>
      </c>
      <c r="L22" s="16" t="e">
        <f t="shared" si="20"/>
        <v>#DIV/0!</v>
      </c>
      <c r="M22" s="104"/>
      <c r="N22" s="104"/>
      <c r="O22" s="47" t="e">
        <f t="shared" si="6"/>
        <v>#DIV/0!</v>
      </c>
      <c r="P22" s="17" t="e">
        <f t="shared" si="7"/>
        <v>#DIV/0!</v>
      </c>
      <c r="Q22" s="62" t="e">
        <f t="shared" si="8"/>
        <v>#DIV/0!</v>
      </c>
      <c r="R22" s="17" t="e">
        <f t="shared" si="9"/>
        <v>#DIV/0!</v>
      </c>
      <c r="S22" s="45"/>
      <c r="T22" s="48"/>
      <c r="U22" s="48"/>
      <c r="V22" s="18">
        <f t="shared" si="10"/>
        <v>0</v>
      </c>
      <c r="W22" s="56" t="e">
        <f>IF(#REF!&gt;DATE(2010,9,30),ROUNDUP(ABS( V22/U22 ),3),ROUNDUP(ABS( (T22-T23)/T23 ),3))</f>
        <v>#REF!</v>
      </c>
      <c r="X22" s="49" t="e">
        <f t="shared" si="11"/>
        <v>#REF!</v>
      </c>
      <c r="Y22" s="49" t="e">
        <f t="shared" si="12"/>
        <v>#REF!</v>
      </c>
      <c r="Z22" s="49" t="e">
        <f t="shared" si="13"/>
        <v>#REF!</v>
      </c>
      <c r="AA22" s="49" t="e">
        <f t="shared" si="14"/>
        <v>#REF!</v>
      </c>
      <c r="AB22" s="16" t="e">
        <f>IF(S22&gt;=#REF!,ROUND(MAX(AVERAGE(X22:AA22),AB$1),4),ROUND(MAX(AVERAGE(X22:AA22),AC$1),4))</f>
        <v>#REF!</v>
      </c>
      <c r="AC22" s="46"/>
      <c r="AD22" s="46"/>
      <c r="AE22" s="50" t="e">
        <f t="shared" si="15"/>
        <v>#REF!</v>
      </c>
      <c r="AF22" s="51" t="e">
        <f t="shared" si="16"/>
        <v>#REF!</v>
      </c>
      <c r="AG22" s="62" t="e">
        <f t="shared" si="17"/>
        <v>#REF!</v>
      </c>
      <c r="AH22" s="17" t="e">
        <f t="shared" si="18"/>
        <v>#REF!</v>
      </c>
    </row>
    <row r="23" spans="1:34">
      <c r="A23" s="112"/>
      <c r="B23" s="113"/>
      <c r="C23" s="113"/>
      <c r="D23" s="114">
        <f t="shared" si="0"/>
        <v>0</v>
      </c>
      <c r="E23" s="19" t="e">
        <f t="shared" si="1"/>
        <v>#DIV/0!</v>
      </c>
      <c r="F23" s="16" t="e">
        <f t="shared" si="2"/>
        <v>#DIV/0!</v>
      </c>
      <c r="G23" s="16" t="e">
        <f t="shared" si="3"/>
        <v>#DIV/0!</v>
      </c>
      <c r="H23" s="16" t="e">
        <f t="shared" si="4"/>
        <v>#DIV/0!</v>
      </c>
      <c r="I23" s="16" t="e">
        <f t="shared" si="5"/>
        <v>#DIV/0!</v>
      </c>
      <c r="J23" s="16" t="e">
        <f t="shared" si="5"/>
        <v>#DIV/0!</v>
      </c>
      <c r="K23" s="16" t="e">
        <f t="shared" si="19"/>
        <v>#DIV/0!</v>
      </c>
      <c r="L23" s="16" t="e">
        <f t="shared" si="20"/>
        <v>#DIV/0!</v>
      </c>
      <c r="M23" s="104"/>
      <c r="N23" s="104"/>
      <c r="O23" s="47" t="e">
        <f t="shared" si="6"/>
        <v>#DIV/0!</v>
      </c>
      <c r="P23" s="17" t="e">
        <f t="shared" si="7"/>
        <v>#DIV/0!</v>
      </c>
      <c r="Q23" s="62" t="e">
        <f t="shared" si="8"/>
        <v>#DIV/0!</v>
      </c>
      <c r="R23" s="17" t="e">
        <f t="shared" si="9"/>
        <v>#DIV/0!</v>
      </c>
      <c r="S23" s="45"/>
      <c r="T23" s="48"/>
      <c r="U23" s="48"/>
      <c r="V23" s="18">
        <f t="shared" si="10"/>
        <v>0</v>
      </c>
      <c r="W23" s="56" t="e">
        <f>IF(#REF!&gt;DATE(2010,9,30),ROUNDUP(ABS( V23/U23 ),3),ROUNDUP(ABS( (T23-T24)/T24 ),3))</f>
        <v>#REF!</v>
      </c>
      <c r="X23" s="49" t="e">
        <f t="shared" si="11"/>
        <v>#REF!</v>
      </c>
      <c r="Y23" s="49" t="e">
        <f t="shared" si="12"/>
        <v>#REF!</v>
      </c>
      <c r="Z23" s="49" t="e">
        <f t="shared" si="13"/>
        <v>#REF!</v>
      </c>
      <c r="AA23" s="49" t="e">
        <f t="shared" si="14"/>
        <v>#REF!</v>
      </c>
      <c r="AB23" s="16" t="e">
        <f>IF(S23&gt;=#REF!,ROUND(MAX(AVERAGE(X23:AA23),AB$1),4),ROUND(MAX(AVERAGE(X23:AA23),AC$1),4))</f>
        <v>#REF!</v>
      </c>
      <c r="AC23" s="46"/>
      <c r="AD23" s="46"/>
      <c r="AE23" s="50" t="e">
        <f t="shared" si="15"/>
        <v>#REF!</v>
      </c>
      <c r="AF23" s="51" t="e">
        <f t="shared" si="16"/>
        <v>#REF!</v>
      </c>
      <c r="AG23" s="62" t="e">
        <f t="shared" si="17"/>
        <v>#REF!</v>
      </c>
      <c r="AH23" s="17" t="e">
        <f t="shared" si="18"/>
        <v>#REF!</v>
      </c>
    </row>
    <row r="24" spans="1:34">
      <c r="A24" s="112"/>
      <c r="B24" s="113"/>
      <c r="C24" s="113"/>
      <c r="D24" s="114">
        <f t="shared" si="0"/>
        <v>0</v>
      </c>
      <c r="E24" s="19" t="e">
        <f t="shared" si="1"/>
        <v>#DIV/0!</v>
      </c>
      <c r="F24" s="16" t="e">
        <f t="shared" si="2"/>
        <v>#DIV/0!</v>
      </c>
      <c r="G24" s="16" t="e">
        <f t="shared" si="3"/>
        <v>#DIV/0!</v>
      </c>
      <c r="H24" s="16" t="e">
        <f t="shared" si="4"/>
        <v>#DIV/0!</v>
      </c>
      <c r="I24" s="16" t="e">
        <f t="shared" si="5"/>
        <v>#DIV/0!</v>
      </c>
      <c r="J24" s="16" t="e">
        <f t="shared" si="5"/>
        <v>#DIV/0!</v>
      </c>
      <c r="K24" s="16" t="e">
        <f t="shared" si="19"/>
        <v>#DIV/0!</v>
      </c>
      <c r="L24" s="16" t="e">
        <f t="shared" si="20"/>
        <v>#DIV/0!</v>
      </c>
      <c r="M24" s="104"/>
      <c r="N24" s="104"/>
      <c r="O24" s="47" t="e">
        <f t="shared" si="6"/>
        <v>#DIV/0!</v>
      </c>
      <c r="P24" s="17" t="e">
        <f t="shared" si="7"/>
        <v>#DIV/0!</v>
      </c>
      <c r="Q24" s="62" t="e">
        <f t="shared" si="8"/>
        <v>#DIV/0!</v>
      </c>
      <c r="R24" s="17" t="e">
        <f t="shared" si="9"/>
        <v>#DIV/0!</v>
      </c>
      <c r="S24" s="45"/>
      <c r="T24" s="48"/>
      <c r="U24" s="48"/>
      <c r="V24" s="18">
        <f t="shared" si="10"/>
        <v>0</v>
      </c>
      <c r="W24" s="56" t="e">
        <f>IF(#REF!&gt;DATE(2010,9,30),ROUNDUP(ABS( V24/U24 ),3),ROUNDUP(ABS( (T24-T25)/T25 ),3))</f>
        <v>#REF!</v>
      </c>
      <c r="X24" s="49" t="e">
        <f t="shared" si="11"/>
        <v>#REF!</v>
      </c>
      <c r="Y24" s="49" t="e">
        <f t="shared" si="12"/>
        <v>#REF!</v>
      </c>
      <c r="Z24" s="49" t="e">
        <f t="shared" si="13"/>
        <v>#REF!</v>
      </c>
      <c r="AA24" s="49" t="e">
        <f t="shared" si="14"/>
        <v>#REF!</v>
      </c>
      <c r="AB24" s="16" t="e">
        <f>IF(S24&gt;=#REF!,ROUND(MAX(AVERAGE(X24:AA24),AB$1),4),ROUND(MAX(AVERAGE(X24:AA24),AC$1),4))</f>
        <v>#REF!</v>
      </c>
      <c r="AC24" s="46"/>
      <c r="AD24" s="46"/>
      <c r="AE24" s="50" t="e">
        <f t="shared" si="15"/>
        <v>#REF!</v>
      </c>
      <c r="AF24" s="51" t="e">
        <f t="shared" si="16"/>
        <v>#REF!</v>
      </c>
      <c r="AG24" s="62" t="e">
        <f t="shared" si="17"/>
        <v>#REF!</v>
      </c>
      <c r="AH24" s="17" t="e">
        <f t="shared" si="18"/>
        <v>#REF!</v>
      </c>
    </row>
    <row r="25" spans="1:34">
      <c r="A25" s="112"/>
      <c r="B25" s="113"/>
      <c r="C25" s="113"/>
      <c r="D25" s="114">
        <f t="shared" si="0"/>
        <v>0</v>
      </c>
      <c r="E25" s="19" t="e">
        <f t="shared" si="1"/>
        <v>#DIV/0!</v>
      </c>
      <c r="F25" s="16" t="e">
        <f t="shared" si="2"/>
        <v>#DIV/0!</v>
      </c>
      <c r="G25" s="16" t="e">
        <f t="shared" si="3"/>
        <v>#DIV/0!</v>
      </c>
      <c r="H25" s="16" t="e">
        <f t="shared" si="4"/>
        <v>#DIV/0!</v>
      </c>
      <c r="I25" s="16" t="e">
        <f t="shared" si="5"/>
        <v>#DIV/0!</v>
      </c>
      <c r="J25" s="16" t="e">
        <f t="shared" si="5"/>
        <v>#DIV/0!</v>
      </c>
      <c r="K25" s="16" t="e">
        <f t="shared" si="19"/>
        <v>#DIV/0!</v>
      </c>
      <c r="L25" s="16" t="e">
        <f t="shared" si="20"/>
        <v>#DIV/0!</v>
      </c>
      <c r="M25" s="104"/>
      <c r="N25" s="104"/>
      <c r="O25" s="47" t="e">
        <f t="shared" si="6"/>
        <v>#DIV/0!</v>
      </c>
      <c r="P25" s="17" t="e">
        <f t="shared" si="7"/>
        <v>#DIV/0!</v>
      </c>
      <c r="Q25" s="62" t="e">
        <f t="shared" si="8"/>
        <v>#DIV/0!</v>
      </c>
      <c r="R25" s="17" t="e">
        <f t="shared" si="9"/>
        <v>#DIV/0!</v>
      </c>
      <c r="S25" s="45"/>
      <c r="T25" s="48"/>
      <c r="U25" s="48"/>
      <c r="V25" s="18">
        <f t="shared" si="10"/>
        <v>0</v>
      </c>
      <c r="W25" s="56" t="e">
        <f>IF(#REF!&gt;DATE(2010,9,30),ROUNDUP(ABS( V25/U25 ),3),ROUNDUP(ABS( (T25-T26)/T26 ),3))</f>
        <v>#REF!</v>
      </c>
      <c r="X25" s="49" t="e">
        <f t="shared" si="11"/>
        <v>#REF!</v>
      </c>
      <c r="Y25" s="49" t="e">
        <f t="shared" si="12"/>
        <v>#REF!</v>
      </c>
      <c r="Z25" s="49" t="e">
        <f t="shared" si="13"/>
        <v>#REF!</v>
      </c>
      <c r="AA25" s="49" t="e">
        <f t="shared" si="14"/>
        <v>#REF!</v>
      </c>
      <c r="AB25" s="16" t="e">
        <f>IF(S25&gt;=#REF!,ROUND(MAX(AVERAGE(X25:AA25),AB$1),4),ROUND(MAX(AVERAGE(X25:AA25),AC$1),4))</f>
        <v>#REF!</v>
      </c>
      <c r="AC25" s="46"/>
      <c r="AD25" s="46"/>
      <c r="AE25" s="50" t="e">
        <f t="shared" si="15"/>
        <v>#REF!</v>
      </c>
      <c r="AF25" s="51" t="e">
        <f t="shared" si="16"/>
        <v>#REF!</v>
      </c>
      <c r="AG25" s="62" t="e">
        <f t="shared" si="17"/>
        <v>#REF!</v>
      </c>
      <c r="AH25" s="17" t="e">
        <f t="shared" si="18"/>
        <v>#REF!</v>
      </c>
    </row>
    <row r="26" spans="1:34">
      <c r="A26" s="112"/>
      <c r="B26" s="113"/>
      <c r="C26" s="113"/>
      <c r="D26" s="114">
        <f t="shared" si="0"/>
        <v>0</v>
      </c>
      <c r="E26" s="19" t="e">
        <f t="shared" si="1"/>
        <v>#DIV/0!</v>
      </c>
      <c r="F26" s="16" t="e">
        <f t="shared" si="2"/>
        <v>#DIV/0!</v>
      </c>
      <c r="G26" s="16" t="e">
        <f t="shared" si="3"/>
        <v>#DIV/0!</v>
      </c>
      <c r="H26" s="16" t="e">
        <f t="shared" si="4"/>
        <v>#DIV/0!</v>
      </c>
      <c r="I26" s="16" t="e">
        <f t="shared" si="5"/>
        <v>#DIV/0!</v>
      </c>
      <c r="J26" s="16" t="e">
        <f t="shared" si="5"/>
        <v>#DIV/0!</v>
      </c>
      <c r="K26" s="16" t="e">
        <f t="shared" si="19"/>
        <v>#DIV/0!</v>
      </c>
      <c r="L26" s="16" t="e">
        <f t="shared" si="20"/>
        <v>#DIV/0!</v>
      </c>
      <c r="M26" s="104"/>
      <c r="N26" s="104"/>
      <c r="O26" s="47" t="e">
        <f t="shared" si="6"/>
        <v>#DIV/0!</v>
      </c>
      <c r="P26" s="17" t="e">
        <f t="shared" si="7"/>
        <v>#DIV/0!</v>
      </c>
      <c r="Q26" s="62" t="e">
        <f t="shared" si="8"/>
        <v>#DIV/0!</v>
      </c>
      <c r="R26" s="17" t="e">
        <f t="shared" si="9"/>
        <v>#DIV/0!</v>
      </c>
      <c r="S26" s="45"/>
      <c r="T26" s="48"/>
      <c r="U26" s="48"/>
      <c r="V26" s="18">
        <f t="shared" si="10"/>
        <v>0</v>
      </c>
      <c r="W26" s="56" t="e">
        <f>IF(#REF!&gt;DATE(2010,9,30),ROUNDUP(ABS( V26/U26 ),3),ROUNDUP(ABS( (T26-T27)/T27 ),3))</f>
        <v>#REF!</v>
      </c>
      <c r="X26" s="49" t="e">
        <f t="shared" si="11"/>
        <v>#REF!</v>
      </c>
      <c r="Y26" s="49" t="e">
        <f t="shared" si="12"/>
        <v>#REF!</v>
      </c>
      <c r="Z26" s="49" t="e">
        <f t="shared" si="13"/>
        <v>#REF!</v>
      </c>
      <c r="AA26" s="49" t="e">
        <f t="shared" si="14"/>
        <v>#REF!</v>
      </c>
      <c r="AB26" s="16" t="e">
        <f>IF(S26&gt;=#REF!,ROUND(MAX(AVERAGE(X26:AA26),AB$1),4),ROUND(MAX(AVERAGE(X26:AA26),AC$1),4))</f>
        <v>#REF!</v>
      </c>
      <c r="AC26" s="46"/>
      <c r="AD26" s="46"/>
      <c r="AE26" s="50" t="e">
        <f t="shared" si="15"/>
        <v>#REF!</v>
      </c>
      <c r="AF26" s="51" t="e">
        <f t="shared" si="16"/>
        <v>#REF!</v>
      </c>
      <c r="AG26" s="62" t="e">
        <f t="shared" si="17"/>
        <v>#REF!</v>
      </c>
      <c r="AH26" s="17" t="e">
        <f t="shared" si="18"/>
        <v>#REF!</v>
      </c>
    </row>
    <row r="27" spans="1:34">
      <c r="A27" s="112"/>
      <c r="B27" s="113"/>
      <c r="C27" s="113"/>
      <c r="D27" s="114">
        <f t="shared" si="0"/>
        <v>0</v>
      </c>
      <c r="E27" s="19" t="e">
        <f t="shared" si="1"/>
        <v>#DIV/0!</v>
      </c>
      <c r="F27" s="16" t="e">
        <f t="shared" si="2"/>
        <v>#DIV/0!</v>
      </c>
      <c r="G27" s="16" t="e">
        <f t="shared" si="3"/>
        <v>#DIV/0!</v>
      </c>
      <c r="H27" s="16" t="e">
        <f t="shared" si="4"/>
        <v>#DIV/0!</v>
      </c>
      <c r="I27" s="16" t="e">
        <f t="shared" si="5"/>
        <v>#DIV/0!</v>
      </c>
      <c r="J27" s="16" t="e">
        <f t="shared" si="5"/>
        <v>#DIV/0!</v>
      </c>
      <c r="K27" s="16" t="e">
        <f t="shared" si="19"/>
        <v>#DIV/0!</v>
      </c>
      <c r="L27" s="16" t="e">
        <f t="shared" si="20"/>
        <v>#DIV/0!</v>
      </c>
      <c r="M27" s="104"/>
      <c r="N27" s="104"/>
      <c r="O27" s="47" t="e">
        <f t="shared" si="6"/>
        <v>#DIV/0!</v>
      </c>
      <c r="P27" s="17" t="e">
        <f t="shared" si="7"/>
        <v>#DIV/0!</v>
      </c>
      <c r="Q27" s="62" t="e">
        <f t="shared" si="8"/>
        <v>#DIV/0!</v>
      </c>
      <c r="R27" s="17" t="e">
        <f t="shared" si="9"/>
        <v>#DIV/0!</v>
      </c>
      <c r="S27" s="45"/>
      <c r="T27" s="48"/>
      <c r="U27" s="48"/>
      <c r="V27" s="18">
        <f t="shared" si="10"/>
        <v>0</v>
      </c>
      <c r="W27" s="56" t="e">
        <f>IF(#REF!&gt;DATE(2010,9,30),ROUNDUP(ABS( V27/U27 ),3),ROUNDUP(ABS( (T27-T28)/T28 ),3))</f>
        <v>#REF!</v>
      </c>
      <c r="X27" s="49" t="e">
        <f t="shared" si="11"/>
        <v>#REF!</v>
      </c>
      <c r="Y27" s="49" t="e">
        <f t="shared" si="12"/>
        <v>#REF!</v>
      </c>
      <c r="Z27" s="49" t="e">
        <f t="shared" si="13"/>
        <v>#REF!</v>
      </c>
      <c r="AA27" s="49" t="e">
        <f t="shared" si="14"/>
        <v>#REF!</v>
      </c>
      <c r="AB27" s="16" t="e">
        <f>IF(S27&gt;=#REF!,ROUND(MAX(AVERAGE(X27:AA27),AB$1),4),ROUND(MAX(AVERAGE(X27:AA27),AC$1),4))</f>
        <v>#REF!</v>
      </c>
      <c r="AC27" s="46"/>
      <c r="AD27" s="46"/>
      <c r="AE27" s="50" t="e">
        <f t="shared" si="15"/>
        <v>#REF!</v>
      </c>
      <c r="AF27" s="51" t="e">
        <f t="shared" si="16"/>
        <v>#REF!</v>
      </c>
      <c r="AG27" s="62" t="e">
        <f t="shared" si="17"/>
        <v>#REF!</v>
      </c>
      <c r="AH27" s="17" t="e">
        <f t="shared" si="18"/>
        <v>#REF!</v>
      </c>
    </row>
    <row r="28" spans="1:34">
      <c r="A28" s="112"/>
      <c r="B28" s="113"/>
      <c r="C28" s="113"/>
      <c r="D28" s="114">
        <f t="shared" si="0"/>
        <v>0</v>
      </c>
      <c r="E28" s="19" t="e">
        <f t="shared" si="1"/>
        <v>#DIV/0!</v>
      </c>
      <c r="F28" s="16" t="e">
        <f t="shared" si="2"/>
        <v>#DIV/0!</v>
      </c>
      <c r="G28" s="16" t="e">
        <f t="shared" si="3"/>
        <v>#DIV/0!</v>
      </c>
      <c r="H28" s="16" t="e">
        <f t="shared" si="4"/>
        <v>#DIV/0!</v>
      </c>
      <c r="I28" s="16" t="e">
        <f t="shared" si="5"/>
        <v>#DIV/0!</v>
      </c>
      <c r="J28" s="16" t="e">
        <f t="shared" si="5"/>
        <v>#DIV/0!</v>
      </c>
      <c r="K28" s="16" t="e">
        <f t="shared" si="19"/>
        <v>#DIV/0!</v>
      </c>
      <c r="L28" s="16" t="e">
        <f t="shared" si="20"/>
        <v>#DIV/0!</v>
      </c>
      <c r="M28" s="104"/>
      <c r="N28" s="104"/>
      <c r="O28" s="47" t="e">
        <f t="shared" si="6"/>
        <v>#DIV/0!</v>
      </c>
      <c r="P28" s="17" t="e">
        <f t="shared" si="7"/>
        <v>#DIV/0!</v>
      </c>
      <c r="Q28" s="62" t="e">
        <f t="shared" si="8"/>
        <v>#DIV/0!</v>
      </c>
      <c r="R28" s="17" t="e">
        <f t="shared" si="9"/>
        <v>#DIV/0!</v>
      </c>
      <c r="S28" s="45"/>
      <c r="T28" s="48"/>
      <c r="U28" s="48"/>
      <c r="V28" s="18">
        <f t="shared" si="10"/>
        <v>0</v>
      </c>
      <c r="W28" s="56" t="e">
        <f>IF(#REF!&gt;DATE(2010,9,30),ROUNDUP(ABS( V28/U28 ),3),ROUNDUP(ABS( (T28-T29)/T29 ),3))</f>
        <v>#REF!</v>
      </c>
      <c r="X28" s="49" t="e">
        <f t="shared" si="11"/>
        <v>#REF!</v>
      </c>
      <c r="Y28" s="49" t="e">
        <f t="shared" si="12"/>
        <v>#REF!</v>
      </c>
      <c r="Z28" s="49" t="e">
        <f t="shared" si="13"/>
        <v>#REF!</v>
      </c>
      <c r="AA28" s="49" t="e">
        <f t="shared" si="14"/>
        <v>#REF!</v>
      </c>
      <c r="AB28" s="16" t="e">
        <f>IF(S28&gt;=#REF!,ROUND(MAX(AVERAGE(X28:AA28),AB$1),4),ROUND(MAX(AVERAGE(X28:AA28),AC$1),4))</f>
        <v>#REF!</v>
      </c>
      <c r="AC28" s="46"/>
      <c r="AD28" s="46"/>
      <c r="AE28" s="50" t="e">
        <f t="shared" si="15"/>
        <v>#REF!</v>
      </c>
      <c r="AF28" s="51" t="e">
        <f t="shared" si="16"/>
        <v>#REF!</v>
      </c>
      <c r="AG28" s="62" t="e">
        <f t="shared" si="17"/>
        <v>#REF!</v>
      </c>
      <c r="AH28" s="17" t="e">
        <f t="shared" si="18"/>
        <v>#REF!</v>
      </c>
    </row>
    <row r="29" spans="1:34">
      <c r="A29" s="112"/>
      <c r="B29" s="113"/>
      <c r="C29" s="113"/>
      <c r="D29" s="114">
        <f t="shared" si="0"/>
        <v>0</v>
      </c>
      <c r="E29" s="19" t="e">
        <f t="shared" si="1"/>
        <v>#DIV/0!</v>
      </c>
      <c r="F29" s="16" t="e">
        <f t="shared" si="2"/>
        <v>#DIV/0!</v>
      </c>
      <c r="G29" s="16" t="e">
        <f t="shared" si="3"/>
        <v>#DIV/0!</v>
      </c>
      <c r="H29" s="16" t="e">
        <f t="shared" si="4"/>
        <v>#DIV/0!</v>
      </c>
      <c r="I29" s="16" t="e">
        <f t="shared" si="5"/>
        <v>#DIV/0!</v>
      </c>
      <c r="J29" s="16" t="e">
        <f t="shared" si="5"/>
        <v>#DIV/0!</v>
      </c>
      <c r="K29" s="16" t="e">
        <f t="shared" si="19"/>
        <v>#DIV/0!</v>
      </c>
      <c r="L29" s="16" t="e">
        <f t="shared" si="20"/>
        <v>#DIV/0!</v>
      </c>
      <c r="M29" s="104"/>
      <c r="N29" s="104"/>
      <c r="O29" s="47" t="e">
        <f t="shared" si="6"/>
        <v>#DIV/0!</v>
      </c>
      <c r="P29" s="17" t="e">
        <f t="shared" si="7"/>
        <v>#DIV/0!</v>
      </c>
      <c r="Q29" s="62" t="e">
        <f t="shared" si="8"/>
        <v>#DIV/0!</v>
      </c>
      <c r="R29" s="17" t="e">
        <f t="shared" si="9"/>
        <v>#DIV/0!</v>
      </c>
      <c r="S29" s="45"/>
      <c r="T29" s="48"/>
      <c r="U29" s="48"/>
      <c r="V29" s="18">
        <f t="shared" si="10"/>
        <v>0</v>
      </c>
      <c r="W29" s="56" t="e">
        <f>IF(#REF!&gt;DATE(2010,9,30),ROUNDUP(ABS( V29/U29 ),3),ROUNDUP(ABS( (T29-T30)/T30 ),3))</f>
        <v>#REF!</v>
      </c>
      <c r="X29" s="49" t="e">
        <f t="shared" si="11"/>
        <v>#REF!</v>
      </c>
      <c r="Y29" s="49" t="e">
        <f t="shared" si="12"/>
        <v>#REF!</v>
      </c>
      <c r="Z29" s="49" t="e">
        <f t="shared" si="13"/>
        <v>#REF!</v>
      </c>
      <c r="AA29" s="49" t="e">
        <f t="shared" si="14"/>
        <v>#REF!</v>
      </c>
      <c r="AB29" s="16" t="e">
        <f>IF(S29&gt;=#REF!,ROUND(MAX(AVERAGE(X29:AA29),AB$1),4),ROUND(MAX(AVERAGE(X29:AA29),AC$1),4))</f>
        <v>#REF!</v>
      </c>
      <c r="AC29" s="46"/>
      <c r="AD29" s="46"/>
      <c r="AE29" s="50" t="e">
        <f t="shared" si="15"/>
        <v>#REF!</v>
      </c>
      <c r="AF29" s="51" t="e">
        <f t="shared" si="16"/>
        <v>#REF!</v>
      </c>
      <c r="AG29" s="62" t="e">
        <f t="shared" si="17"/>
        <v>#REF!</v>
      </c>
      <c r="AH29" s="17" t="e">
        <f t="shared" si="18"/>
        <v>#REF!</v>
      </c>
    </row>
    <row r="30" spans="1:34">
      <c r="A30" s="112"/>
      <c r="B30" s="113"/>
      <c r="C30" s="113"/>
      <c r="D30" s="114">
        <f t="shared" si="0"/>
        <v>0</v>
      </c>
      <c r="E30" s="19" t="e">
        <f t="shared" si="1"/>
        <v>#DIV/0!</v>
      </c>
      <c r="F30" s="16" t="e">
        <f t="shared" si="2"/>
        <v>#DIV/0!</v>
      </c>
      <c r="G30" s="16" t="e">
        <f t="shared" si="3"/>
        <v>#DIV/0!</v>
      </c>
      <c r="H30" s="16" t="e">
        <f t="shared" si="4"/>
        <v>#DIV/0!</v>
      </c>
      <c r="I30" s="16" t="e">
        <f t="shared" si="5"/>
        <v>#DIV/0!</v>
      </c>
      <c r="J30" s="16" t="e">
        <f t="shared" si="5"/>
        <v>#DIV/0!</v>
      </c>
      <c r="K30" s="16" t="e">
        <f t="shared" si="19"/>
        <v>#DIV/0!</v>
      </c>
      <c r="L30" s="16" t="e">
        <f t="shared" si="20"/>
        <v>#DIV/0!</v>
      </c>
      <c r="M30" s="104"/>
      <c r="N30" s="104"/>
      <c r="O30" s="47" t="e">
        <f t="shared" si="6"/>
        <v>#DIV/0!</v>
      </c>
      <c r="P30" s="17" t="e">
        <f t="shared" si="7"/>
        <v>#DIV/0!</v>
      </c>
      <c r="Q30" s="62" t="e">
        <f t="shared" si="8"/>
        <v>#DIV/0!</v>
      </c>
      <c r="R30" s="17" t="e">
        <f t="shared" si="9"/>
        <v>#DIV/0!</v>
      </c>
      <c r="S30" s="45"/>
      <c r="T30" s="48"/>
      <c r="U30" s="48"/>
      <c r="V30" s="18">
        <f t="shared" si="10"/>
        <v>0</v>
      </c>
      <c r="W30" s="56" t="e">
        <f>IF(#REF!&gt;DATE(2010,9,30),ROUNDUP(ABS( V30/U30 ),3),ROUNDUP(ABS( (T30-T31)/T31 ),3))</f>
        <v>#REF!</v>
      </c>
      <c r="X30" s="49" t="e">
        <f t="shared" si="11"/>
        <v>#REF!</v>
      </c>
      <c r="Y30" s="49" t="e">
        <f t="shared" si="12"/>
        <v>#REF!</v>
      </c>
      <c r="Z30" s="49" t="e">
        <f t="shared" si="13"/>
        <v>#REF!</v>
      </c>
      <c r="AA30" s="49" t="e">
        <f t="shared" si="14"/>
        <v>#REF!</v>
      </c>
      <c r="AB30" s="16" t="e">
        <f>IF(S30&gt;=#REF!,ROUND(MAX(AVERAGE(X30:AA30),AB$1),4),ROUND(MAX(AVERAGE(X30:AA30),AC$1),4))</f>
        <v>#REF!</v>
      </c>
      <c r="AC30" s="46"/>
      <c r="AD30" s="46"/>
      <c r="AE30" s="50" t="e">
        <f t="shared" si="15"/>
        <v>#REF!</v>
      </c>
      <c r="AF30" s="51" t="e">
        <f t="shared" si="16"/>
        <v>#REF!</v>
      </c>
      <c r="AG30" s="62" t="e">
        <f t="shared" si="17"/>
        <v>#REF!</v>
      </c>
      <c r="AH30" s="17" t="e">
        <f t="shared" si="18"/>
        <v>#REF!</v>
      </c>
    </row>
    <row r="31" spans="1:34">
      <c r="A31" s="112"/>
      <c r="B31" s="113"/>
      <c r="C31" s="113"/>
      <c r="D31" s="114">
        <f t="shared" si="0"/>
        <v>0</v>
      </c>
      <c r="E31" s="19" t="e">
        <f t="shared" si="1"/>
        <v>#DIV/0!</v>
      </c>
      <c r="F31" s="16" t="e">
        <f t="shared" si="2"/>
        <v>#DIV/0!</v>
      </c>
      <c r="G31" s="16" t="e">
        <f t="shared" si="3"/>
        <v>#DIV/0!</v>
      </c>
      <c r="H31" s="16" t="e">
        <f t="shared" si="4"/>
        <v>#DIV/0!</v>
      </c>
      <c r="I31" s="16" t="e">
        <f t="shared" si="5"/>
        <v>#DIV/0!</v>
      </c>
      <c r="J31" s="16" t="e">
        <f t="shared" si="5"/>
        <v>#DIV/0!</v>
      </c>
      <c r="K31" s="16" t="e">
        <f t="shared" si="19"/>
        <v>#DIV/0!</v>
      </c>
      <c r="L31" s="16" t="e">
        <f t="shared" si="20"/>
        <v>#DIV/0!</v>
      </c>
      <c r="M31" s="104"/>
      <c r="N31" s="104"/>
      <c r="O31" s="47" t="e">
        <f t="shared" si="6"/>
        <v>#DIV/0!</v>
      </c>
      <c r="P31" s="17" t="e">
        <f t="shared" si="7"/>
        <v>#DIV/0!</v>
      </c>
      <c r="Q31" s="62" t="e">
        <f t="shared" si="8"/>
        <v>#DIV/0!</v>
      </c>
      <c r="R31" s="17" t="e">
        <f t="shared" si="9"/>
        <v>#DIV/0!</v>
      </c>
      <c r="S31" s="45"/>
      <c r="T31" s="48"/>
      <c r="U31" s="48"/>
      <c r="V31" s="18">
        <f t="shared" si="10"/>
        <v>0</v>
      </c>
      <c r="W31" s="56" t="e">
        <f>IF(#REF!&gt;DATE(2010,9,30),ROUNDUP(ABS( V31/U31 ),3),ROUNDUP(ABS( (T31-T32)/T32 ),3))</f>
        <v>#REF!</v>
      </c>
      <c r="X31" s="49" t="e">
        <f t="shared" si="11"/>
        <v>#REF!</v>
      </c>
      <c r="Y31" s="49" t="e">
        <f t="shared" si="12"/>
        <v>#REF!</v>
      </c>
      <c r="Z31" s="49" t="e">
        <f t="shared" si="13"/>
        <v>#REF!</v>
      </c>
      <c r="AA31" s="49" t="e">
        <f t="shared" si="14"/>
        <v>#REF!</v>
      </c>
      <c r="AB31" s="16" t="e">
        <f>IF(S31&gt;=#REF!,ROUND(MAX(AVERAGE(X31:AA31),AB$1),4),ROUND(MAX(AVERAGE(X31:AA31),AC$1),4))</f>
        <v>#REF!</v>
      </c>
      <c r="AC31" s="46"/>
      <c r="AD31" s="46"/>
      <c r="AE31" s="50" t="e">
        <f t="shared" si="15"/>
        <v>#REF!</v>
      </c>
      <c r="AF31" s="51" t="e">
        <f t="shared" si="16"/>
        <v>#REF!</v>
      </c>
      <c r="AG31" s="62" t="e">
        <f t="shared" si="17"/>
        <v>#REF!</v>
      </c>
      <c r="AH31" s="17" t="e">
        <f t="shared" si="18"/>
        <v>#REF!</v>
      </c>
    </row>
    <row r="32" spans="1:34">
      <c r="A32" s="112"/>
      <c r="B32" s="113"/>
      <c r="C32" s="113"/>
      <c r="D32" s="114">
        <f t="shared" si="0"/>
        <v>0</v>
      </c>
      <c r="E32" s="19" t="e">
        <f t="shared" si="1"/>
        <v>#DIV/0!</v>
      </c>
      <c r="F32" s="16" t="e">
        <f t="shared" si="2"/>
        <v>#DIV/0!</v>
      </c>
      <c r="G32" s="16" t="e">
        <f t="shared" si="3"/>
        <v>#DIV/0!</v>
      </c>
      <c r="H32" s="16" t="e">
        <f t="shared" si="4"/>
        <v>#DIV/0!</v>
      </c>
      <c r="I32" s="16" t="e">
        <f t="shared" si="5"/>
        <v>#DIV/0!</v>
      </c>
      <c r="J32" s="16" t="e">
        <f t="shared" si="5"/>
        <v>#DIV/0!</v>
      </c>
      <c r="K32" s="16" t="e">
        <f t="shared" si="19"/>
        <v>#DIV/0!</v>
      </c>
      <c r="L32" s="16" t="e">
        <f t="shared" si="20"/>
        <v>#DIV/0!</v>
      </c>
      <c r="M32" s="104"/>
      <c r="N32" s="104"/>
      <c r="O32" s="47" t="e">
        <f t="shared" si="6"/>
        <v>#DIV/0!</v>
      </c>
      <c r="P32" s="17" t="e">
        <f t="shared" si="7"/>
        <v>#DIV/0!</v>
      </c>
      <c r="Q32" s="62" t="e">
        <f t="shared" si="8"/>
        <v>#DIV/0!</v>
      </c>
      <c r="R32" s="17" t="e">
        <f t="shared" si="9"/>
        <v>#DIV/0!</v>
      </c>
      <c r="S32" s="45"/>
      <c r="T32" s="48"/>
      <c r="U32" s="48"/>
      <c r="V32" s="18">
        <f t="shared" si="10"/>
        <v>0</v>
      </c>
      <c r="W32" s="56" t="e">
        <f>IF(#REF!&gt;DATE(2010,9,30),ROUNDUP(ABS( V32/U32 ),3),ROUNDUP(ABS( (T32-T33)/T33 ),3))</f>
        <v>#REF!</v>
      </c>
      <c r="X32" s="49" t="e">
        <f t="shared" si="11"/>
        <v>#REF!</v>
      </c>
      <c r="Y32" s="49" t="e">
        <f t="shared" si="12"/>
        <v>#REF!</v>
      </c>
      <c r="Z32" s="49" t="e">
        <f t="shared" si="13"/>
        <v>#REF!</v>
      </c>
      <c r="AA32" s="49" t="e">
        <f t="shared" si="14"/>
        <v>#REF!</v>
      </c>
      <c r="AB32" s="16" t="e">
        <f>IF(S32&gt;=#REF!,ROUND(MAX(AVERAGE(X32:AA32),AB$1),4),ROUND(MAX(AVERAGE(X32:AA32),AC$1),4))</f>
        <v>#REF!</v>
      </c>
      <c r="AC32" s="46"/>
      <c r="AD32" s="46"/>
      <c r="AE32" s="50" t="e">
        <f t="shared" si="15"/>
        <v>#REF!</v>
      </c>
      <c r="AF32" s="51" t="e">
        <f t="shared" si="16"/>
        <v>#REF!</v>
      </c>
      <c r="AG32" s="62" t="e">
        <f t="shared" si="17"/>
        <v>#REF!</v>
      </c>
      <c r="AH32" s="17" t="e">
        <f t="shared" si="18"/>
        <v>#REF!</v>
      </c>
    </row>
    <row r="33" spans="1:34">
      <c r="A33" s="112"/>
      <c r="B33" s="113"/>
      <c r="C33" s="113"/>
      <c r="D33" s="114">
        <f t="shared" si="0"/>
        <v>0</v>
      </c>
      <c r="E33" s="19" t="e">
        <f t="shared" si="1"/>
        <v>#DIV/0!</v>
      </c>
      <c r="F33" s="16" t="e">
        <f t="shared" si="2"/>
        <v>#DIV/0!</v>
      </c>
      <c r="G33" s="16" t="e">
        <f t="shared" si="3"/>
        <v>#DIV/0!</v>
      </c>
      <c r="H33" s="16" t="e">
        <f t="shared" si="4"/>
        <v>#DIV/0!</v>
      </c>
      <c r="I33" s="16" t="e">
        <f t="shared" si="5"/>
        <v>#DIV/0!</v>
      </c>
      <c r="J33" s="16" t="e">
        <f t="shared" si="5"/>
        <v>#DIV/0!</v>
      </c>
      <c r="K33" s="16" t="e">
        <f t="shared" si="19"/>
        <v>#DIV/0!</v>
      </c>
      <c r="L33" s="16" t="e">
        <f t="shared" si="20"/>
        <v>#DIV/0!</v>
      </c>
      <c r="M33" s="104"/>
      <c r="N33" s="104"/>
      <c r="O33" s="47" t="e">
        <f t="shared" si="6"/>
        <v>#DIV/0!</v>
      </c>
      <c r="P33" s="17" t="e">
        <f t="shared" si="7"/>
        <v>#DIV/0!</v>
      </c>
      <c r="Q33" s="62" t="e">
        <f t="shared" si="8"/>
        <v>#DIV/0!</v>
      </c>
      <c r="R33" s="17" t="e">
        <f t="shared" si="9"/>
        <v>#DIV/0!</v>
      </c>
      <c r="S33" s="45"/>
      <c r="T33" s="48"/>
      <c r="U33" s="48"/>
      <c r="V33" s="18">
        <f t="shared" si="10"/>
        <v>0</v>
      </c>
      <c r="W33" s="56" t="e">
        <f>IF(#REF!&gt;DATE(2010,9,30),ROUNDUP(ABS( V33/U33 ),3),ROUNDUP(ABS( (T33-T34)/T34 ),3))</f>
        <v>#REF!</v>
      </c>
      <c r="X33" s="49" t="e">
        <f t="shared" si="11"/>
        <v>#REF!</v>
      </c>
      <c r="Y33" s="49" t="e">
        <f t="shared" si="12"/>
        <v>#REF!</v>
      </c>
      <c r="Z33" s="49" t="e">
        <f t="shared" si="13"/>
        <v>#REF!</v>
      </c>
      <c r="AA33" s="49" t="e">
        <f t="shared" si="14"/>
        <v>#REF!</v>
      </c>
      <c r="AB33" s="16" t="e">
        <f>IF(S33&gt;=#REF!,ROUND(MAX(AVERAGE(X33:AA33),AB$1),4),ROUND(MAX(AVERAGE(X33:AA33),AC$1),4))</f>
        <v>#REF!</v>
      </c>
      <c r="AC33" s="46"/>
      <c r="AD33" s="46"/>
      <c r="AE33" s="50" t="e">
        <f t="shared" si="15"/>
        <v>#REF!</v>
      </c>
      <c r="AF33" s="51" t="e">
        <f t="shared" si="16"/>
        <v>#REF!</v>
      </c>
      <c r="AG33" s="62" t="e">
        <f t="shared" si="17"/>
        <v>#REF!</v>
      </c>
      <c r="AH33" s="17" t="e">
        <f t="shared" si="18"/>
        <v>#REF!</v>
      </c>
    </row>
    <row r="34" spans="1:34">
      <c r="A34" s="112"/>
      <c r="B34" s="113"/>
      <c r="C34" s="113"/>
      <c r="D34" s="114">
        <f t="shared" si="0"/>
        <v>0</v>
      </c>
      <c r="E34" s="19" t="e">
        <f t="shared" si="1"/>
        <v>#DIV/0!</v>
      </c>
      <c r="F34" s="16" t="e">
        <f t="shared" si="2"/>
        <v>#DIV/0!</v>
      </c>
      <c r="G34" s="16" t="e">
        <f t="shared" si="3"/>
        <v>#DIV/0!</v>
      </c>
      <c r="H34" s="16" t="e">
        <f t="shared" si="4"/>
        <v>#DIV/0!</v>
      </c>
      <c r="I34" s="16" t="e">
        <f t="shared" si="5"/>
        <v>#DIV/0!</v>
      </c>
      <c r="J34" s="16" t="e">
        <f t="shared" si="5"/>
        <v>#DIV/0!</v>
      </c>
      <c r="K34" s="16" t="e">
        <f t="shared" si="19"/>
        <v>#DIV/0!</v>
      </c>
      <c r="L34" s="16" t="e">
        <f t="shared" si="20"/>
        <v>#DIV/0!</v>
      </c>
      <c r="M34" s="104"/>
      <c r="N34" s="104"/>
      <c r="O34" s="47" t="e">
        <f t="shared" si="6"/>
        <v>#DIV/0!</v>
      </c>
      <c r="P34" s="17" t="e">
        <f t="shared" si="7"/>
        <v>#DIV/0!</v>
      </c>
      <c r="Q34" s="62" t="e">
        <f t="shared" si="8"/>
        <v>#DIV/0!</v>
      </c>
      <c r="R34" s="17" t="e">
        <f t="shared" si="9"/>
        <v>#DIV/0!</v>
      </c>
      <c r="S34" s="45"/>
      <c r="T34" s="48"/>
      <c r="U34" s="48"/>
      <c r="V34" s="18">
        <f t="shared" si="10"/>
        <v>0</v>
      </c>
      <c r="W34" s="56" t="e">
        <f>IF(#REF!&gt;DATE(2010,9,30),ROUNDUP(ABS( V34/U34 ),3),ROUNDUP(ABS( (T34-T35)/T35 ),3))</f>
        <v>#REF!</v>
      </c>
      <c r="X34" s="49" t="e">
        <f t="shared" si="11"/>
        <v>#REF!</v>
      </c>
      <c r="Y34" s="49" t="e">
        <f t="shared" si="12"/>
        <v>#REF!</v>
      </c>
      <c r="Z34" s="49" t="e">
        <f t="shared" si="13"/>
        <v>#REF!</v>
      </c>
      <c r="AA34" s="49" t="e">
        <f t="shared" si="14"/>
        <v>#REF!</v>
      </c>
      <c r="AB34" s="16" t="e">
        <f>IF(S34&gt;=#REF!,ROUND(MAX(AVERAGE(X34:AA34),AB$1),4),ROUND(MAX(AVERAGE(X34:AA34),AC$1),4))</f>
        <v>#REF!</v>
      </c>
      <c r="AC34" s="46"/>
      <c r="AD34" s="46"/>
      <c r="AE34" s="50" t="e">
        <f t="shared" si="15"/>
        <v>#REF!</v>
      </c>
      <c r="AF34" s="51" t="e">
        <f t="shared" si="16"/>
        <v>#REF!</v>
      </c>
      <c r="AG34" s="62" t="e">
        <f t="shared" si="17"/>
        <v>#REF!</v>
      </c>
      <c r="AH34" s="17" t="e">
        <f t="shared" si="18"/>
        <v>#REF!</v>
      </c>
    </row>
    <row r="35" spans="1:34">
      <c r="A35" s="112"/>
      <c r="B35" s="113"/>
      <c r="C35" s="113"/>
      <c r="D35" s="114">
        <f t="shared" si="0"/>
        <v>0</v>
      </c>
      <c r="E35" s="19" t="e">
        <f t="shared" si="1"/>
        <v>#DIV/0!</v>
      </c>
      <c r="F35" s="16" t="e">
        <f t="shared" ref="F35:F66" si="21">ROUND(ROUND(AVERAGE(E35:E64),4)+2.575*ROUND(STDEV(E35:E64),4),4)</f>
        <v>#DIV/0!</v>
      </c>
      <c r="G35" s="16" t="e">
        <f t="shared" ref="G35:G66" si="22">ROUND(ROUND(AVERAGE(E35:E94),4)+2.575*ROUND(STDEV(E35:E94),4),4)</f>
        <v>#DIV/0!</v>
      </c>
      <c r="H35" s="16" t="e">
        <f t="shared" ref="H35:H66" si="23">ROUND(ROUND(AVERAGE(E35:E124),4)+2.575*ROUND(STDEV(E35:E124),4),4)</f>
        <v>#DIV/0!</v>
      </c>
      <c r="I35" s="16" t="e">
        <f t="shared" ref="I35:J66" si="24">ROUND(ROUND(AVERAGE(E35:E214),4)+2.575*ROUND(STDEV(E35:E214),4),4)</f>
        <v>#DIV/0!</v>
      </c>
      <c r="J35" s="16" t="e">
        <f t="shared" si="24"/>
        <v>#DIV/0!</v>
      </c>
      <c r="K35" s="16" t="e">
        <f t="shared" si="19"/>
        <v>#DIV/0!</v>
      </c>
      <c r="L35" s="16" t="e">
        <f t="shared" si="20"/>
        <v>#DIV/0!</v>
      </c>
      <c r="M35" s="104"/>
      <c r="N35" s="104"/>
      <c r="O35" s="47" t="e">
        <f t="shared" ref="O35:O66" si="25">B35*L35*M35</f>
        <v>#DIV/0!</v>
      </c>
      <c r="P35" s="17" t="e">
        <f t="shared" ref="P35:P66" si="26">ROUNDUP((O35-N35)/N35,3)</f>
        <v>#DIV/0!</v>
      </c>
      <c r="Q35" s="62" t="e">
        <f t="shared" ref="Q35:Q66" si="27">ROUNDUP(O35/1000,0)*1000</f>
        <v>#DIV/0!</v>
      </c>
      <c r="R35" s="17" t="e">
        <f t="shared" ref="R35:R66" si="28">ROUNDUP((Q35-N35)/N35,3)</f>
        <v>#DIV/0!</v>
      </c>
      <c r="S35" s="45"/>
      <c r="T35" s="48"/>
      <c r="U35" s="48"/>
      <c r="V35" s="18">
        <f t="shared" si="10"/>
        <v>0</v>
      </c>
      <c r="W35" s="56" t="e">
        <f>IF(#REF!&gt;DATE(2010,9,30),ROUNDUP(ABS( V35/U35 ),3),ROUNDUP(ABS( (T35-T36)/T36 ),3))</f>
        <v>#REF!</v>
      </c>
      <c r="X35" s="49" t="e">
        <f t="shared" si="11"/>
        <v>#REF!</v>
      </c>
      <c r="Y35" s="49" t="e">
        <f t="shared" si="12"/>
        <v>#REF!</v>
      </c>
      <c r="Z35" s="49" t="e">
        <f t="shared" si="13"/>
        <v>#REF!</v>
      </c>
      <c r="AA35" s="49" t="e">
        <f t="shared" si="14"/>
        <v>#REF!</v>
      </c>
      <c r="AB35" s="16" t="e">
        <f>IF(S35&gt;=#REF!,ROUND(MAX(AVERAGE(X35:AA35),AB$1),4),ROUND(MAX(AVERAGE(X35:AA35),AC$1),4))</f>
        <v>#REF!</v>
      </c>
      <c r="AC35" s="46"/>
      <c r="AD35" s="46"/>
      <c r="AE35" s="50" t="e">
        <f t="shared" si="15"/>
        <v>#REF!</v>
      </c>
      <c r="AF35" s="51" t="e">
        <f t="shared" si="16"/>
        <v>#REF!</v>
      </c>
      <c r="AG35" s="62" t="e">
        <f t="shared" si="17"/>
        <v>#REF!</v>
      </c>
      <c r="AH35" s="17" t="e">
        <f t="shared" si="18"/>
        <v>#REF!</v>
      </c>
    </row>
    <row r="36" spans="1:34">
      <c r="A36" s="112"/>
      <c r="B36" s="113"/>
      <c r="C36" s="113"/>
      <c r="D36" s="114">
        <f t="shared" si="0"/>
        <v>0</v>
      </c>
      <c r="E36" s="19" t="e">
        <f t="shared" si="1"/>
        <v>#DIV/0!</v>
      </c>
      <c r="F36" s="16" t="e">
        <f t="shared" si="21"/>
        <v>#DIV/0!</v>
      </c>
      <c r="G36" s="16" t="e">
        <f t="shared" si="22"/>
        <v>#DIV/0!</v>
      </c>
      <c r="H36" s="16" t="e">
        <f t="shared" si="23"/>
        <v>#DIV/0!</v>
      </c>
      <c r="I36" s="16" t="e">
        <f t="shared" si="24"/>
        <v>#DIV/0!</v>
      </c>
      <c r="J36" s="16" t="e">
        <f t="shared" si="24"/>
        <v>#DIV/0!</v>
      </c>
      <c r="K36" s="16" t="e">
        <f t="shared" si="19"/>
        <v>#DIV/0!</v>
      </c>
      <c r="L36" s="16" t="e">
        <f t="shared" si="20"/>
        <v>#DIV/0!</v>
      </c>
      <c r="M36" s="104"/>
      <c r="N36" s="104"/>
      <c r="O36" s="47" t="e">
        <f t="shared" si="25"/>
        <v>#DIV/0!</v>
      </c>
      <c r="P36" s="17" t="e">
        <f t="shared" si="26"/>
        <v>#DIV/0!</v>
      </c>
      <c r="Q36" s="62" t="e">
        <f t="shared" si="27"/>
        <v>#DIV/0!</v>
      </c>
      <c r="R36" s="17" t="e">
        <f t="shared" si="28"/>
        <v>#DIV/0!</v>
      </c>
      <c r="S36" s="45"/>
      <c r="T36" s="48"/>
      <c r="U36" s="48"/>
      <c r="V36" s="18">
        <f t="shared" si="10"/>
        <v>0</v>
      </c>
      <c r="W36" s="56" t="e">
        <f>IF(#REF!&gt;DATE(2010,9,30),ROUNDUP(ABS( V36/U36 ),3),ROUNDUP(ABS( (T36-T37)/T37 ),3))</f>
        <v>#REF!</v>
      </c>
      <c r="X36" s="49" t="e">
        <f t="shared" si="11"/>
        <v>#REF!</v>
      </c>
      <c r="Y36" s="49" t="e">
        <f t="shared" si="12"/>
        <v>#REF!</v>
      </c>
      <c r="Z36" s="49" t="e">
        <f t="shared" si="13"/>
        <v>#REF!</v>
      </c>
      <c r="AA36" s="49" t="e">
        <f t="shared" si="14"/>
        <v>#REF!</v>
      </c>
      <c r="AB36" s="16" t="e">
        <f>IF(S36&gt;=#REF!,ROUND(MAX(AVERAGE(X36:AA36),AB$1),4),ROUND(MAX(AVERAGE(X36:AA36),AC$1),4))</f>
        <v>#REF!</v>
      </c>
      <c r="AC36" s="46"/>
      <c r="AD36" s="46"/>
      <c r="AE36" s="50" t="e">
        <f t="shared" si="15"/>
        <v>#REF!</v>
      </c>
      <c r="AF36" s="51" t="e">
        <f t="shared" si="16"/>
        <v>#REF!</v>
      </c>
      <c r="AG36" s="62" t="e">
        <f t="shared" si="17"/>
        <v>#REF!</v>
      </c>
      <c r="AH36" s="17" t="e">
        <f t="shared" si="18"/>
        <v>#REF!</v>
      </c>
    </row>
    <row r="37" spans="1:34">
      <c r="A37" s="112"/>
      <c r="B37" s="113"/>
      <c r="C37" s="113"/>
      <c r="D37" s="114">
        <f t="shared" si="0"/>
        <v>0</v>
      </c>
      <c r="E37" s="19" t="e">
        <f t="shared" si="1"/>
        <v>#DIV/0!</v>
      </c>
      <c r="F37" s="16" t="e">
        <f t="shared" si="21"/>
        <v>#DIV/0!</v>
      </c>
      <c r="G37" s="16" t="e">
        <f t="shared" si="22"/>
        <v>#DIV/0!</v>
      </c>
      <c r="H37" s="16" t="e">
        <f t="shared" si="23"/>
        <v>#DIV/0!</v>
      </c>
      <c r="I37" s="16" t="e">
        <f t="shared" si="24"/>
        <v>#DIV/0!</v>
      </c>
      <c r="J37" s="16" t="e">
        <f t="shared" si="24"/>
        <v>#DIV/0!</v>
      </c>
      <c r="K37" s="16" t="e">
        <f t="shared" si="19"/>
        <v>#DIV/0!</v>
      </c>
      <c r="L37" s="16" t="e">
        <f t="shared" si="20"/>
        <v>#DIV/0!</v>
      </c>
      <c r="M37" s="104"/>
      <c r="N37" s="104"/>
      <c r="O37" s="47" t="e">
        <f t="shared" si="25"/>
        <v>#DIV/0!</v>
      </c>
      <c r="P37" s="17" t="e">
        <f t="shared" si="26"/>
        <v>#DIV/0!</v>
      </c>
      <c r="Q37" s="62" t="e">
        <f t="shared" si="27"/>
        <v>#DIV/0!</v>
      </c>
      <c r="R37" s="17" t="e">
        <f t="shared" si="28"/>
        <v>#DIV/0!</v>
      </c>
      <c r="S37" s="45"/>
      <c r="T37" s="48"/>
      <c r="U37" s="48"/>
      <c r="V37" s="18">
        <f t="shared" si="10"/>
        <v>0</v>
      </c>
      <c r="W37" s="56" t="e">
        <f>IF(#REF!&gt;DATE(2010,9,30),ROUNDUP(ABS( V37/U37 ),3),ROUNDUP(ABS( (T37-T38)/T38 ),3))</f>
        <v>#REF!</v>
      </c>
      <c r="X37" s="49" t="e">
        <f t="shared" si="11"/>
        <v>#REF!</v>
      </c>
      <c r="Y37" s="49" t="e">
        <f t="shared" si="12"/>
        <v>#REF!</v>
      </c>
      <c r="Z37" s="49" t="e">
        <f t="shared" si="13"/>
        <v>#REF!</v>
      </c>
      <c r="AA37" s="49" t="e">
        <f t="shared" si="14"/>
        <v>#REF!</v>
      </c>
      <c r="AB37" s="16" t="e">
        <f>IF(S37&gt;=#REF!,ROUND(MAX(AVERAGE(X37:AA37),AB$1),4),ROUND(MAX(AVERAGE(X37:AA37),AC$1),4))</f>
        <v>#REF!</v>
      </c>
      <c r="AC37" s="46"/>
      <c r="AD37" s="46"/>
      <c r="AE37" s="50" t="e">
        <f t="shared" si="15"/>
        <v>#REF!</v>
      </c>
      <c r="AF37" s="51" t="e">
        <f t="shared" si="16"/>
        <v>#REF!</v>
      </c>
      <c r="AG37" s="62" t="e">
        <f t="shared" si="17"/>
        <v>#REF!</v>
      </c>
      <c r="AH37" s="17" t="e">
        <f t="shared" si="18"/>
        <v>#REF!</v>
      </c>
    </row>
    <row r="38" spans="1:34">
      <c r="A38" s="112"/>
      <c r="B38" s="113"/>
      <c r="C38" s="113"/>
      <c r="D38" s="114">
        <f t="shared" si="0"/>
        <v>0</v>
      </c>
      <c r="E38" s="19" t="e">
        <f t="shared" si="1"/>
        <v>#DIV/0!</v>
      </c>
      <c r="F38" s="16" t="e">
        <f t="shared" si="21"/>
        <v>#DIV/0!</v>
      </c>
      <c r="G38" s="16" t="e">
        <f t="shared" si="22"/>
        <v>#DIV/0!</v>
      </c>
      <c r="H38" s="16" t="e">
        <f t="shared" si="23"/>
        <v>#DIV/0!</v>
      </c>
      <c r="I38" s="16" t="e">
        <f t="shared" si="24"/>
        <v>#DIV/0!</v>
      </c>
      <c r="J38" s="16" t="e">
        <f t="shared" si="24"/>
        <v>#DIV/0!</v>
      </c>
      <c r="K38" s="16" t="e">
        <f t="shared" si="19"/>
        <v>#DIV/0!</v>
      </c>
      <c r="L38" s="16" t="e">
        <f t="shared" si="20"/>
        <v>#DIV/0!</v>
      </c>
      <c r="M38" s="104"/>
      <c r="N38" s="104"/>
      <c r="O38" s="47" t="e">
        <f t="shared" si="25"/>
        <v>#DIV/0!</v>
      </c>
      <c r="P38" s="17" t="e">
        <f t="shared" si="26"/>
        <v>#DIV/0!</v>
      </c>
      <c r="Q38" s="62" t="e">
        <f t="shared" si="27"/>
        <v>#DIV/0!</v>
      </c>
      <c r="R38" s="17" t="e">
        <f t="shared" si="28"/>
        <v>#DIV/0!</v>
      </c>
      <c r="S38" s="45"/>
      <c r="T38" s="48"/>
      <c r="U38" s="48"/>
      <c r="V38" s="18">
        <f t="shared" si="10"/>
        <v>0</v>
      </c>
      <c r="W38" s="56" t="e">
        <f>IF(#REF!&gt;DATE(2010,9,30),ROUNDUP(ABS( V38/U38 ),3),ROUNDUP(ABS( (T38-T39)/T39 ),3))</f>
        <v>#REF!</v>
      </c>
      <c r="X38" s="49" t="e">
        <f t="shared" si="11"/>
        <v>#REF!</v>
      </c>
      <c r="Y38" s="49" t="e">
        <f t="shared" si="12"/>
        <v>#REF!</v>
      </c>
      <c r="Z38" s="49" t="e">
        <f t="shared" si="13"/>
        <v>#REF!</v>
      </c>
      <c r="AA38" s="49" t="e">
        <f t="shared" si="14"/>
        <v>#REF!</v>
      </c>
      <c r="AB38" s="16" t="e">
        <f>IF(S38&gt;=#REF!,ROUND(MAX(AVERAGE(X38:AA38),AB$1),4),ROUND(MAX(AVERAGE(X38:AA38),AC$1),4))</f>
        <v>#REF!</v>
      </c>
      <c r="AC38" s="46"/>
      <c r="AD38" s="46"/>
      <c r="AE38" s="50" t="e">
        <f t="shared" si="15"/>
        <v>#REF!</v>
      </c>
      <c r="AF38" s="51" t="e">
        <f t="shared" si="16"/>
        <v>#REF!</v>
      </c>
      <c r="AG38" s="62" t="e">
        <f t="shared" si="17"/>
        <v>#REF!</v>
      </c>
      <c r="AH38" s="17" t="e">
        <f t="shared" si="18"/>
        <v>#REF!</v>
      </c>
    </row>
    <row r="39" spans="1:34">
      <c r="A39" s="112"/>
      <c r="B39" s="113"/>
      <c r="C39" s="113"/>
      <c r="D39" s="114">
        <f t="shared" si="0"/>
        <v>0</v>
      </c>
      <c r="E39" s="19" t="e">
        <f t="shared" si="1"/>
        <v>#DIV/0!</v>
      </c>
      <c r="F39" s="16" t="e">
        <f t="shared" si="21"/>
        <v>#DIV/0!</v>
      </c>
      <c r="G39" s="16" t="e">
        <f t="shared" si="22"/>
        <v>#DIV/0!</v>
      </c>
      <c r="H39" s="16" t="e">
        <f t="shared" si="23"/>
        <v>#DIV/0!</v>
      </c>
      <c r="I39" s="16" t="e">
        <f t="shared" si="24"/>
        <v>#DIV/0!</v>
      </c>
      <c r="J39" s="16" t="e">
        <f t="shared" si="24"/>
        <v>#DIV/0!</v>
      </c>
      <c r="K39" s="16" t="e">
        <f t="shared" si="19"/>
        <v>#DIV/0!</v>
      </c>
      <c r="L39" s="16" t="e">
        <f t="shared" si="20"/>
        <v>#DIV/0!</v>
      </c>
      <c r="M39" s="104"/>
      <c r="N39" s="104"/>
      <c r="O39" s="47" t="e">
        <f t="shared" si="25"/>
        <v>#DIV/0!</v>
      </c>
      <c r="P39" s="17" t="e">
        <f t="shared" si="26"/>
        <v>#DIV/0!</v>
      </c>
      <c r="Q39" s="62" t="e">
        <f t="shared" si="27"/>
        <v>#DIV/0!</v>
      </c>
      <c r="R39" s="17" t="e">
        <f t="shared" si="28"/>
        <v>#DIV/0!</v>
      </c>
      <c r="S39" s="45"/>
      <c r="T39" s="48"/>
      <c r="U39" s="48"/>
      <c r="V39" s="18">
        <f t="shared" si="10"/>
        <v>0</v>
      </c>
      <c r="W39" s="56" t="e">
        <f>IF(#REF!&gt;DATE(2010,9,30),ROUNDUP(ABS( V39/U39 ),3),ROUNDUP(ABS( (T39-T40)/T40 ),3))</f>
        <v>#REF!</v>
      </c>
      <c r="X39" s="49" t="e">
        <f t="shared" si="11"/>
        <v>#REF!</v>
      </c>
      <c r="Y39" s="49" t="e">
        <f t="shared" si="12"/>
        <v>#REF!</v>
      </c>
      <c r="Z39" s="49" t="e">
        <f t="shared" si="13"/>
        <v>#REF!</v>
      </c>
      <c r="AA39" s="49" t="e">
        <f t="shared" si="14"/>
        <v>#REF!</v>
      </c>
      <c r="AB39" s="16" t="e">
        <f>IF(S39&gt;=#REF!,ROUND(MAX(AVERAGE(X39:AA39),AB$1),4),ROUND(MAX(AVERAGE(X39:AA39),AC$1),4))</f>
        <v>#REF!</v>
      </c>
      <c r="AC39" s="46"/>
      <c r="AD39" s="46"/>
      <c r="AE39" s="50" t="e">
        <f t="shared" si="15"/>
        <v>#REF!</v>
      </c>
      <c r="AF39" s="51" t="e">
        <f t="shared" si="16"/>
        <v>#REF!</v>
      </c>
      <c r="AG39" s="62" t="e">
        <f t="shared" si="17"/>
        <v>#REF!</v>
      </c>
      <c r="AH39" s="17" t="e">
        <f t="shared" si="18"/>
        <v>#REF!</v>
      </c>
    </row>
    <row r="40" spans="1:34">
      <c r="A40" s="112"/>
      <c r="B40" s="113"/>
      <c r="C40" s="113"/>
      <c r="D40" s="114">
        <f t="shared" si="0"/>
        <v>0</v>
      </c>
      <c r="E40" s="19" t="e">
        <f t="shared" si="1"/>
        <v>#DIV/0!</v>
      </c>
      <c r="F40" s="16" t="e">
        <f t="shared" si="21"/>
        <v>#DIV/0!</v>
      </c>
      <c r="G40" s="16" t="e">
        <f t="shared" si="22"/>
        <v>#DIV/0!</v>
      </c>
      <c r="H40" s="16" t="e">
        <f t="shared" si="23"/>
        <v>#DIV/0!</v>
      </c>
      <c r="I40" s="16" t="e">
        <f t="shared" si="24"/>
        <v>#DIV/0!</v>
      </c>
      <c r="J40" s="16" t="e">
        <f t="shared" si="24"/>
        <v>#DIV/0!</v>
      </c>
      <c r="K40" s="16" t="e">
        <f t="shared" si="19"/>
        <v>#DIV/0!</v>
      </c>
      <c r="L40" s="16" t="e">
        <f t="shared" si="20"/>
        <v>#DIV/0!</v>
      </c>
      <c r="M40" s="104"/>
      <c r="N40" s="104"/>
      <c r="O40" s="47" t="e">
        <f t="shared" si="25"/>
        <v>#DIV/0!</v>
      </c>
      <c r="P40" s="17" t="e">
        <f t="shared" si="26"/>
        <v>#DIV/0!</v>
      </c>
      <c r="Q40" s="62" t="e">
        <f t="shared" si="27"/>
        <v>#DIV/0!</v>
      </c>
      <c r="R40" s="17" t="e">
        <f t="shared" si="28"/>
        <v>#DIV/0!</v>
      </c>
      <c r="S40" s="45"/>
      <c r="T40" s="48"/>
      <c r="U40" s="48"/>
      <c r="V40" s="18">
        <f t="shared" si="10"/>
        <v>0</v>
      </c>
      <c r="W40" s="56" t="e">
        <f>IF(#REF!&gt;DATE(2010,9,30),ROUNDUP(ABS( V40/U40 ),3),ROUNDUP(ABS( (T40-T41)/T41 ),3))</f>
        <v>#REF!</v>
      </c>
      <c r="X40" s="49" t="e">
        <f t="shared" si="11"/>
        <v>#REF!</v>
      </c>
      <c r="Y40" s="49" t="e">
        <f t="shared" si="12"/>
        <v>#REF!</v>
      </c>
      <c r="Z40" s="49" t="e">
        <f t="shared" si="13"/>
        <v>#REF!</v>
      </c>
      <c r="AA40" s="49" t="e">
        <f t="shared" si="14"/>
        <v>#REF!</v>
      </c>
      <c r="AB40" s="16" t="e">
        <f>IF(S40&gt;=#REF!,ROUND(MAX(AVERAGE(X40:AA40),AB$1),4),ROUND(MAX(AVERAGE(X40:AA40),AC$1),4))</f>
        <v>#REF!</v>
      </c>
      <c r="AC40" s="46"/>
      <c r="AD40" s="46"/>
      <c r="AE40" s="50" t="e">
        <f t="shared" si="15"/>
        <v>#REF!</v>
      </c>
      <c r="AF40" s="51" t="e">
        <f t="shared" si="16"/>
        <v>#REF!</v>
      </c>
      <c r="AG40" s="62" t="e">
        <f t="shared" si="17"/>
        <v>#REF!</v>
      </c>
      <c r="AH40" s="17" t="e">
        <f t="shared" si="18"/>
        <v>#REF!</v>
      </c>
    </row>
    <row r="41" spans="1:34">
      <c r="A41" s="112"/>
      <c r="B41" s="113"/>
      <c r="C41" s="113"/>
      <c r="D41" s="114">
        <f t="shared" si="0"/>
        <v>0</v>
      </c>
      <c r="E41" s="19" t="e">
        <f t="shared" si="1"/>
        <v>#DIV/0!</v>
      </c>
      <c r="F41" s="16" t="e">
        <f t="shared" si="21"/>
        <v>#DIV/0!</v>
      </c>
      <c r="G41" s="16" t="e">
        <f t="shared" si="22"/>
        <v>#DIV/0!</v>
      </c>
      <c r="H41" s="16" t="e">
        <f t="shared" si="23"/>
        <v>#DIV/0!</v>
      </c>
      <c r="I41" s="16" t="e">
        <f t="shared" si="24"/>
        <v>#DIV/0!</v>
      </c>
      <c r="J41" s="16" t="e">
        <f t="shared" si="24"/>
        <v>#DIV/0!</v>
      </c>
      <c r="K41" s="16" t="e">
        <f t="shared" si="19"/>
        <v>#DIV/0!</v>
      </c>
      <c r="L41" s="16" t="e">
        <f t="shared" si="20"/>
        <v>#DIV/0!</v>
      </c>
      <c r="M41" s="104"/>
      <c r="N41" s="104"/>
      <c r="O41" s="47" t="e">
        <f t="shared" si="25"/>
        <v>#DIV/0!</v>
      </c>
      <c r="P41" s="17" t="e">
        <f t="shared" si="26"/>
        <v>#DIV/0!</v>
      </c>
      <c r="Q41" s="62" t="e">
        <f t="shared" si="27"/>
        <v>#DIV/0!</v>
      </c>
      <c r="R41" s="17" t="e">
        <f t="shared" si="28"/>
        <v>#DIV/0!</v>
      </c>
      <c r="S41" s="45"/>
      <c r="T41" s="48"/>
      <c r="U41" s="48"/>
      <c r="V41" s="18">
        <f t="shared" si="10"/>
        <v>0</v>
      </c>
      <c r="W41" s="56" t="e">
        <f>IF(#REF!&gt;DATE(2010,9,30),ROUNDUP(ABS( V41/U41 ),3),ROUNDUP(ABS( (T41-T42)/T42 ),3))</f>
        <v>#REF!</v>
      </c>
      <c r="X41" s="49" t="e">
        <f t="shared" si="11"/>
        <v>#REF!</v>
      </c>
      <c r="Y41" s="49" t="e">
        <f t="shared" si="12"/>
        <v>#REF!</v>
      </c>
      <c r="Z41" s="49" t="e">
        <f t="shared" si="13"/>
        <v>#REF!</v>
      </c>
      <c r="AA41" s="49" t="e">
        <f t="shared" si="14"/>
        <v>#REF!</v>
      </c>
      <c r="AB41" s="16" t="e">
        <f>IF(S41&gt;=#REF!,ROUND(MAX(AVERAGE(X41:AA41),AB$1),4),ROUND(MAX(AVERAGE(X41:AA41),AC$1),4))</f>
        <v>#REF!</v>
      </c>
      <c r="AC41" s="46"/>
      <c r="AD41" s="46"/>
      <c r="AE41" s="50" t="e">
        <f t="shared" si="15"/>
        <v>#REF!</v>
      </c>
      <c r="AF41" s="51" t="e">
        <f t="shared" si="16"/>
        <v>#REF!</v>
      </c>
      <c r="AG41" s="62" t="e">
        <f t="shared" si="17"/>
        <v>#REF!</v>
      </c>
      <c r="AH41" s="17" t="e">
        <f t="shared" si="18"/>
        <v>#REF!</v>
      </c>
    </row>
    <row r="42" spans="1:34">
      <c r="A42" s="112"/>
      <c r="B42" s="113"/>
      <c r="C42" s="113"/>
      <c r="D42" s="114">
        <f t="shared" si="0"/>
        <v>0</v>
      </c>
      <c r="E42" s="19" t="e">
        <f t="shared" si="1"/>
        <v>#DIV/0!</v>
      </c>
      <c r="F42" s="16" t="e">
        <f t="shared" si="21"/>
        <v>#DIV/0!</v>
      </c>
      <c r="G42" s="16" t="e">
        <f t="shared" si="22"/>
        <v>#DIV/0!</v>
      </c>
      <c r="H42" s="16" t="e">
        <f t="shared" si="23"/>
        <v>#DIV/0!</v>
      </c>
      <c r="I42" s="16" t="e">
        <f t="shared" si="24"/>
        <v>#DIV/0!</v>
      </c>
      <c r="J42" s="16" t="e">
        <f t="shared" si="24"/>
        <v>#DIV/0!</v>
      </c>
      <c r="K42" s="16" t="e">
        <f t="shared" si="19"/>
        <v>#DIV/0!</v>
      </c>
      <c r="L42" s="16" t="e">
        <f t="shared" si="20"/>
        <v>#DIV/0!</v>
      </c>
      <c r="M42" s="104"/>
      <c r="N42" s="104"/>
      <c r="O42" s="47" t="e">
        <f t="shared" si="25"/>
        <v>#DIV/0!</v>
      </c>
      <c r="P42" s="17" t="e">
        <f t="shared" si="26"/>
        <v>#DIV/0!</v>
      </c>
      <c r="Q42" s="62" t="e">
        <f t="shared" si="27"/>
        <v>#DIV/0!</v>
      </c>
      <c r="R42" s="17" t="e">
        <f t="shared" si="28"/>
        <v>#DIV/0!</v>
      </c>
      <c r="S42" s="45"/>
      <c r="T42" s="48"/>
      <c r="U42" s="48"/>
      <c r="V42" s="18">
        <f t="shared" si="10"/>
        <v>0</v>
      </c>
      <c r="W42" s="56" t="e">
        <f>IF(#REF!&gt;DATE(2010,9,30),ROUNDUP(ABS( V42/U42 ),3),ROUNDUP(ABS( (T42-T43)/T43 ),3))</f>
        <v>#REF!</v>
      </c>
      <c r="X42" s="49" t="e">
        <f t="shared" si="11"/>
        <v>#REF!</v>
      </c>
      <c r="Y42" s="49" t="e">
        <f t="shared" si="12"/>
        <v>#REF!</v>
      </c>
      <c r="Z42" s="49" t="e">
        <f t="shared" si="13"/>
        <v>#REF!</v>
      </c>
      <c r="AA42" s="49" t="e">
        <f t="shared" si="14"/>
        <v>#REF!</v>
      </c>
      <c r="AB42" s="16" t="e">
        <f>IF(S42&gt;=#REF!,ROUND(MAX(AVERAGE(X42:AA42),AB$1),4),ROUND(MAX(AVERAGE(X42:AA42),AC$1),4))</f>
        <v>#REF!</v>
      </c>
      <c r="AC42" s="46"/>
      <c r="AD42" s="46"/>
      <c r="AE42" s="50" t="e">
        <f t="shared" si="15"/>
        <v>#REF!</v>
      </c>
      <c r="AF42" s="51" t="e">
        <f t="shared" si="16"/>
        <v>#REF!</v>
      </c>
      <c r="AG42" s="62" t="e">
        <f t="shared" si="17"/>
        <v>#REF!</v>
      </c>
      <c r="AH42" s="17" t="e">
        <f t="shared" si="18"/>
        <v>#REF!</v>
      </c>
    </row>
    <row r="43" spans="1:34">
      <c r="A43" s="112"/>
      <c r="B43" s="113"/>
      <c r="C43" s="113"/>
      <c r="D43" s="114">
        <f t="shared" si="0"/>
        <v>0</v>
      </c>
      <c r="E43" s="19" t="e">
        <f t="shared" si="1"/>
        <v>#DIV/0!</v>
      </c>
      <c r="F43" s="16" t="e">
        <f t="shared" si="21"/>
        <v>#DIV/0!</v>
      </c>
      <c r="G43" s="16" t="e">
        <f t="shared" si="22"/>
        <v>#DIV/0!</v>
      </c>
      <c r="H43" s="16" t="e">
        <f t="shared" si="23"/>
        <v>#DIV/0!</v>
      </c>
      <c r="I43" s="16" t="e">
        <f t="shared" si="24"/>
        <v>#DIV/0!</v>
      </c>
      <c r="J43" s="16" t="e">
        <f t="shared" si="24"/>
        <v>#DIV/0!</v>
      </c>
      <c r="K43" s="16" t="e">
        <f t="shared" si="19"/>
        <v>#DIV/0!</v>
      </c>
      <c r="L43" s="16" t="e">
        <f t="shared" si="20"/>
        <v>#DIV/0!</v>
      </c>
      <c r="M43" s="104"/>
      <c r="N43" s="104"/>
      <c r="O43" s="47" t="e">
        <f t="shared" si="25"/>
        <v>#DIV/0!</v>
      </c>
      <c r="P43" s="17" t="e">
        <f t="shared" si="26"/>
        <v>#DIV/0!</v>
      </c>
      <c r="Q43" s="62" t="e">
        <f t="shared" si="27"/>
        <v>#DIV/0!</v>
      </c>
      <c r="R43" s="17" t="e">
        <f t="shared" si="28"/>
        <v>#DIV/0!</v>
      </c>
      <c r="S43" s="45"/>
      <c r="T43" s="48"/>
      <c r="U43" s="48"/>
      <c r="V43" s="18">
        <f t="shared" si="10"/>
        <v>0</v>
      </c>
      <c r="W43" s="56" t="e">
        <f>IF(#REF!&gt;DATE(2010,9,30),ROUNDUP(ABS( V43/U43 ),3),ROUNDUP(ABS( (T43-T44)/T44 ),3))</f>
        <v>#REF!</v>
      </c>
      <c r="X43" s="49" t="e">
        <f t="shared" si="11"/>
        <v>#REF!</v>
      </c>
      <c r="Y43" s="49" t="e">
        <f t="shared" si="12"/>
        <v>#REF!</v>
      </c>
      <c r="Z43" s="49" t="e">
        <f t="shared" si="13"/>
        <v>#REF!</v>
      </c>
      <c r="AA43" s="49" t="e">
        <f t="shared" si="14"/>
        <v>#REF!</v>
      </c>
      <c r="AB43" s="16" t="e">
        <f>IF(S43&gt;=#REF!,ROUND(MAX(AVERAGE(X43:AA43),AB$1),4),ROUND(MAX(AVERAGE(X43:AA43),AC$1),4))</f>
        <v>#REF!</v>
      </c>
      <c r="AC43" s="46"/>
      <c r="AD43" s="46"/>
      <c r="AE43" s="50" t="e">
        <f t="shared" si="15"/>
        <v>#REF!</v>
      </c>
      <c r="AF43" s="51" t="e">
        <f t="shared" si="16"/>
        <v>#REF!</v>
      </c>
      <c r="AG43" s="62" t="e">
        <f t="shared" si="17"/>
        <v>#REF!</v>
      </c>
      <c r="AH43" s="17" t="e">
        <f t="shared" si="18"/>
        <v>#REF!</v>
      </c>
    </row>
    <row r="44" spans="1:34">
      <c r="A44" s="112"/>
      <c r="B44" s="113"/>
      <c r="C44" s="113"/>
      <c r="D44" s="114">
        <f t="shared" si="0"/>
        <v>0</v>
      </c>
      <c r="E44" s="19" t="e">
        <f t="shared" si="1"/>
        <v>#DIV/0!</v>
      </c>
      <c r="F44" s="16" t="e">
        <f t="shared" si="21"/>
        <v>#DIV/0!</v>
      </c>
      <c r="G44" s="16" t="e">
        <f t="shared" si="22"/>
        <v>#DIV/0!</v>
      </c>
      <c r="H44" s="16" t="e">
        <f t="shared" si="23"/>
        <v>#DIV/0!</v>
      </c>
      <c r="I44" s="16" t="e">
        <f t="shared" si="24"/>
        <v>#DIV/0!</v>
      </c>
      <c r="J44" s="16" t="e">
        <f t="shared" si="24"/>
        <v>#DIV/0!</v>
      </c>
      <c r="K44" s="16" t="e">
        <f t="shared" si="19"/>
        <v>#DIV/0!</v>
      </c>
      <c r="L44" s="16" t="e">
        <f t="shared" si="20"/>
        <v>#DIV/0!</v>
      </c>
      <c r="M44" s="104"/>
      <c r="N44" s="104"/>
      <c r="O44" s="47" t="e">
        <f t="shared" si="25"/>
        <v>#DIV/0!</v>
      </c>
      <c r="P44" s="17" t="e">
        <f t="shared" si="26"/>
        <v>#DIV/0!</v>
      </c>
      <c r="Q44" s="62" t="e">
        <f t="shared" si="27"/>
        <v>#DIV/0!</v>
      </c>
      <c r="R44" s="17" t="e">
        <f t="shared" si="28"/>
        <v>#DIV/0!</v>
      </c>
      <c r="S44" s="45"/>
      <c r="T44" s="48"/>
      <c r="U44" s="48"/>
      <c r="V44" s="18">
        <f t="shared" si="10"/>
        <v>0</v>
      </c>
      <c r="W44" s="56" t="e">
        <f>IF(#REF!&gt;DATE(2010,9,30),ROUNDUP(ABS( V44/U44 ),3),ROUNDUP(ABS( (T44-T45)/T45 ),3))</f>
        <v>#REF!</v>
      </c>
      <c r="X44" s="49" t="e">
        <f t="shared" si="11"/>
        <v>#REF!</v>
      </c>
      <c r="Y44" s="49" t="e">
        <f t="shared" si="12"/>
        <v>#REF!</v>
      </c>
      <c r="Z44" s="49" t="e">
        <f t="shared" si="13"/>
        <v>#REF!</v>
      </c>
      <c r="AA44" s="49" t="e">
        <f t="shared" si="14"/>
        <v>#REF!</v>
      </c>
      <c r="AB44" s="16" t="e">
        <f>IF(S44&gt;=#REF!,ROUND(MAX(AVERAGE(X44:AA44),AB$1),4),ROUND(MAX(AVERAGE(X44:AA44),AC$1),4))</f>
        <v>#REF!</v>
      </c>
      <c r="AC44" s="46"/>
      <c r="AD44" s="46"/>
      <c r="AE44" s="50" t="e">
        <f t="shared" si="15"/>
        <v>#REF!</v>
      </c>
      <c r="AF44" s="51" t="e">
        <f t="shared" si="16"/>
        <v>#REF!</v>
      </c>
      <c r="AG44" s="62" t="e">
        <f t="shared" si="17"/>
        <v>#REF!</v>
      </c>
      <c r="AH44" s="17" t="e">
        <f t="shared" si="18"/>
        <v>#REF!</v>
      </c>
    </row>
    <row r="45" spans="1:34">
      <c r="A45" s="112"/>
      <c r="B45" s="113"/>
      <c r="C45" s="113"/>
      <c r="D45" s="114">
        <f t="shared" si="0"/>
        <v>0</v>
      </c>
      <c r="E45" s="19" t="e">
        <f t="shared" si="1"/>
        <v>#DIV/0!</v>
      </c>
      <c r="F45" s="16" t="e">
        <f t="shared" si="21"/>
        <v>#DIV/0!</v>
      </c>
      <c r="G45" s="16" t="e">
        <f t="shared" si="22"/>
        <v>#DIV/0!</v>
      </c>
      <c r="H45" s="16" t="e">
        <f t="shared" si="23"/>
        <v>#DIV/0!</v>
      </c>
      <c r="I45" s="16" t="e">
        <f t="shared" si="24"/>
        <v>#DIV/0!</v>
      </c>
      <c r="J45" s="16" t="e">
        <f t="shared" si="24"/>
        <v>#DIV/0!</v>
      </c>
      <c r="K45" s="16" t="e">
        <f t="shared" si="19"/>
        <v>#DIV/0!</v>
      </c>
      <c r="L45" s="16" t="e">
        <f t="shared" si="20"/>
        <v>#DIV/0!</v>
      </c>
      <c r="M45" s="104"/>
      <c r="N45" s="104"/>
      <c r="O45" s="47" t="e">
        <f t="shared" si="25"/>
        <v>#DIV/0!</v>
      </c>
      <c r="P45" s="17" t="e">
        <f t="shared" si="26"/>
        <v>#DIV/0!</v>
      </c>
      <c r="Q45" s="62" t="e">
        <f t="shared" si="27"/>
        <v>#DIV/0!</v>
      </c>
      <c r="R45" s="17" t="e">
        <f t="shared" si="28"/>
        <v>#DIV/0!</v>
      </c>
      <c r="S45" s="45"/>
      <c r="T45" s="48"/>
      <c r="U45" s="48"/>
      <c r="V45" s="18">
        <f t="shared" si="10"/>
        <v>0</v>
      </c>
      <c r="W45" s="56" t="e">
        <f>IF(#REF!&gt;DATE(2010,9,30),ROUNDUP(ABS( V45/U45 ),3),ROUNDUP(ABS( (T45-T46)/T46 ),3))</f>
        <v>#REF!</v>
      </c>
      <c r="X45" s="49" t="e">
        <f t="shared" si="11"/>
        <v>#REF!</v>
      </c>
      <c r="Y45" s="49" t="e">
        <f t="shared" si="12"/>
        <v>#REF!</v>
      </c>
      <c r="Z45" s="49" t="e">
        <f t="shared" si="13"/>
        <v>#REF!</v>
      </c>
      <c r="AA45" s="49" t="e">
        <f t="shared" si="14"/>
        <v>#REF!</v>
      </c>
      <c r="AB45" s="16" t="e">
        <f>IF(S45&gt;=#REF!,ROUND(MAX(AVERAGE(X45:AA45),AB$1),4),ROUND(MAX(AVERAGE(X45:AA45),AC$1),4))</f>
        <v>#REF!</v>
      </c>
      <c r="AC45" s="46"/>
      <c r="AD45" s="46"/>
      <c r="AE45" s="50" t="e">
        <f t="shared" si="15"/>
        <v>#REF!</v>
      </c>
      <c r="AF45" s="51" t="e">
        <f t="shared" si="16"/>
        <v>#REF!</v>
      </c>
      <c r="AG45" s="62" t="e">
        <f t="shared" si="17"/>
        <v>#REF!</v>
      </c>
      <c r="AH45" s="17" t="e">
        <f t="shared" si="18"/>
        <v>#REF!</v>
      </c>
    </row>
    <row r="46" spans="1:34">
      <c r="A46" s="112"/>
      <c r="B46" s="113"/>
      <c r="C46" s="113"/>
      <c r="D46" s="114">
        <f t="shared" si="0"/>
        <v>0</v>
      </c>
      <c r="E46" s="19" t="e">
        <f t="shared" si="1"/>
        <v>#DIV/0!</v>
      </c>
      <c r="F46" s="16" t="e">
        <f t="shared" si="21"/>
        <v>#DIV/0!</v>
      </c>
      <c r="G46" s="16" t="e">
        <f t="shared" si="22"/>
        <v>#DIV/0!</v>
      </c>
      <c r="H46" s="16" t="e">
        <f t="shared" si="23"/>
        <v>#DIV/0!</v>
      </c>
      <c r="I46" s="16" t="e">
        <f t="shared" si="24"/>
        <v>#DIV/0!</v>
      </c>
      <c r="J46" s="16" t="e">
        <f t="shared" si="24"/>
        <v>#DIV/0!</v>
      </c>
      <c r="K46" s="16" t="e">
        <f t="shared" si="19"/>
        <v>#DIV/0!</v>
      </c>
      <c r="L46" s="16" t="e">
        <f t="shared" si="20"/>
        <v>#DIV/0!</v>
      </c>
      <c r="M46" s="104"/>
      <c r="N46" s="104"/>
      <c r="O46" s="47" t="e">
        <f t="shared" si="25"/>
        <v>#DIV/0!</v>
      </c>
      <c r="P46" s="17" t="e">
        <f t="shared" si="26"/>
        <v>#DIV/0!</v>
      </c>
      <c r="Q46" s="62" t="e">
        <f t="shared" si="27"/>
        <v>#DIV/0!</v>
      </c>
      <c r="R46" s="17" t="e">
        <f t="shared" si="28"/>
        <v>#DIV/0!</v>
      </c>
      <c r="S46" s="45"/>
      <c r="T46" s="48"/>
      <c r="U46" s="48"/>
      <c r="V46" s="18">
        <f t="shared" si="10"/>
        <v>0</v>
      </c>
      <c r="W46" s="56" t="e">
        <f>IF(#REF!&gt;DATE(2010,9,30),ROUNDUP(ABS( V46/U46 ),3),ROUNDUP(ABS( (T46-T47)/T47 ),3))</f>
        <v>#REF!</v>
      </c>
      <c r="X46" s="49" t="e">
        <f t="shared" si="11"/>
        <v>#REF!</v>
      </c>
      <c r="Y46" s="49" t="e">
        <f t="shared" si="12"/>
        <v>#REF!</v>
      </c>
      <c r="Z46" s="49" t="e">
        <f t="shared" si="13"/>
        <v>#REF!</v>
      </c>
      <c r="AA46" s="49" t="e">
        <f t="shared" si="14"/>
        <v>#REF!</v>
      </c>
      <c r="AB46" s="16" t="e">
        <f>IF(S46&gt;=#REF!,ROUND(MAX(AVERAGE(X46:AA46),AB$1),4),ROUND(MAX(AVERAGE(X46:AA46),AC$1),4))</f>
        <v>#REF!</v>
      </c>
      <c r="AC46" s="46"/>
      <c r="AD46" s="46"/>
      <c r="AE46" s="50" t="e">
        <f t="shared" si="15"/>
        <v>#REF!</v>
      </c>
      <c r="AF46" s="51" t="e">
        <f t="shared" si="16"/>
        <v>#REF!</v>
      </c>
      <c r="AG46" s="62" t="e">
        <f t="shared" si="17"/>
        <v>#REF!</v>
      </c>
      <c r="AH46" s="17" t="e">
        <f t="shared" si="18"/>
        <v>#REF!</v>
      </c>
    </row>
    <row r="47" spans="1:34">
      <c r="A47" s="112"/>
      <c r="B47" s="113"/>
      <c r="C47" s="113"/>
      <c r="D47" s="114">
        <f t="shared" si="0"/>
        <v>0</v>
      </c>
      <c r="E47" s="19" t="e">
        <f t="shared" si="1"/>
        <v>#DIV/0!</v>
      </c>
      <c r="F47" s="16" t="e">
        <f t="shared" si="21"/>
        <v>#DIV/0!</v>
      </c>
      <c r="G47" s="16" t="e">
        <f t="shared" si="22"/>
        <v>#DIV/0!</v>
      </c>
      <c r="H47" s="16" t="e">
        <f t="shared" si="23"/>
        <v>#DIV/0!</v>
      </c>
      <c r="I47" s="16" t="e">
        <f t="shared" si="24"/>
        <v>#DIV/0!</v>
      </c>
      <c r="J47" s="16" t="e">
        <f t="shared" si="24"/>
        <v>#DIV/0!</v>
      </c>
      <c r="K47" s="16" t="e">
        <f t="shared" si="19"/>
        <v>#DIV/0!</v>
      </c>
      <c r="L47" s="16" t="e">
        <f t="shared" si="20"/>
        <v>#DIV/0!</v>
      </c>
      <c r="M47" s="104"/>
      <c r="N47" s="104"/>
      <c r="O47" s="47" t="e">
        <f t="shared" si="25"/>
        <v>#DIV/0!</v>
      </c>
      <c r="P47" s="17" t="e">
        <f t="shared" si="26"/>
        <v>#DIV/0!</v>
      </c>
      <c r="Q47" s="62" t="e">
        <f t="shared" si="27"/>
        <v>#DIV/0!</v>
      </c>
      <c r="R47" s="17" t="e">
        <f t="shared" si="28"/>
        <v>#DIV/0!</v>
      </c>
      <c r="S47" s="45"/>
      <c r="T47" s="48"/>
      <c r="U47" s="48"/>
      <c r="V47" s="18">
        <f t="shared" si="10"/>
        <v>0</v>
      </c>
      <c r="W47" s="56" t="e">
        <f>IF(#REF!&gt;DATE(2010,9,30),ROUNDUP(ABS( V47/U47 ),3),ROUNDUP(ABS( (T47-T48)/T48 ),3))</f>
        <v>#REF!</v>
      </c>
      <c r="X47" s="49" t="e">
        <f t="shared" si="11"/>
        <v>#REF!</v>
      </c>
      <c r="Y47" s="49" t="e">
        <f t="shared" si="12"/>
        <v>#REF!</v>
      </c>
      <c r="Z47" s="49" t="e">
        <f t="shared" si="13"/>
        <v>#REF!</v>
      </c>
      <c r="AA47" s="49" t="e">
        <f t="shared" si="14"/>
        <v>#REF!</v>
      </c>
      <c r="AB47" s="16" t="e">
        <f>IF(S47&gt;=#REF!,ROUND(MAX(AVERAGE(X47:AA47),AB$1),4),ROUND(MAX(AVERAGE(X47:AA47),AC$1),4))</f>
        <v>#REF!</v>
      </c>
      <c r="AC47" s="46"/>
      <c r="AD47" s="46"/>
      <c r="AE47" s="50" t="e">
        <f t="shared" si="15"/>
        <v>#REF!</v>
      </c>
      <c r="AF47" s="51" t="e">
        <f t="shared" si="16"/>
        <v>#REF!</v>
      </c>
      <c r="AG47" s="62" t="e">
        <f t="shared" si="17"/>
        <v>#REF!</v>
      </c>
      <c r="AH47" s="17" t="e">
        <f t="shared" si="18"/>
        <v>#REF!</v>
      </c>
    </row>
    <row r="48" spans="1:34">
      <c r="A48" s="112"/>
      <c r="B48" s="113"/>
      <c r="C48" s="113"/>
      <c r="D48" s="114">
        <f t="shared" si="0"/>
        <v>0</v>
      </c>
      <c r="E48" s="19" t="e">
        <f t="shared" si="1"/>
        <v>#DIV/0!</v>
      </c>
      <c r="F48" s="16" t="e">
        <f t="shared" si="21"/>
        <v>#DIV/0!</v>
      </c>
      <c r="G48" s="16" t="e">
        <f t="shared" si="22"/>
        <v>#DIV/0!</v>
      </c>
      <c r="H48" s="16" t="e">
        <f t="shared" si="23"/>
        <v>#DIV/0!</v>
      </c>
      <c r="I48" s="16" t="e">
        <f t="shared" si="24"/>
        <v>#DIV/0!</v>
      </c>
      <c r="J48" s="16" t="e">
        <f t="shared" si="24"/>
        <v>#DIV/0!</v>
      </c>
      <c r="K48" s="16" t="e">
        <f t="shared" si="19"/>
        <v>#DIV/0!</v>
      </c>
      <c r="L48" s="16" t="e">
        <f t="shared" si="20"/>
        <v>#DIV/0!</v>
      </c>
      <c r="M48" s="104"/>
      <c r="N48" s="104"/>
      <c r="O48" s="47" t="e">
        <f t="shared" si="25"/>
        <v>#DIV/0!</v>
      </c>
      <c r="P48" s="17" t="e">
        <f t="shared" si="26"/>
        <v>#DIV/0!</v>
      </c>
      <c r="Q48" s="62" t="e">
        <f t="shared" si="27"/>
        <v>#DIV/0!</v>
      </c>
      <c r="R48" s="17" t="e">
        <f t="shared" si="28"/>
        <v>#DIV/0!</v>
      </c>
      <c r="S48" s="45"/>
      <c r="T48" s="48"/>
      <c r="U48" s="48"/>
      <c r="V48" s="18">
        <f t="shared" si="10"/>
        <v>0</v>
      </c>
      <c r="W48" s="56" t="e">
        <f>IF(#REF!&gt;DATE(2010,9,30),ROUNDUP(ABS( V48/U48 ),3),ROUNDUP(ABS( (T48-T49)/T49 ),3))</f>
        <v>#REF!</v>
      </c>
      <c r="X48" s="49" t="e">
        <f t="shared" si="11"/>
        <v>#REF!</v>
      </c>
      <c r="Y48" s="49" t="e">
        <f t="shared" si="12"/>
        <v>#REF!</v>
      </c>
      <c r="Z48" s="49" t="e">
        <f t="shared" si="13"/>
        <v>#REF!</v>
      </c>
      <c r="AA48" s="49" t="e">
        <f t="shared" si="14"/>
        <v>#REF!</v>
      </c>
      <c r="AB48" s="16" t="e">
        <f>IF(S48&gt;=#REF!,ROUND(MAX(AVERAGE(X48:AA48),AB$1),4),ROUND(MAX(AVERAGE(X48:AA48),AC$1),4))</f>
        <v>#REF!</v>
      </c>
      <c r="AC48" s="46"/>
      <c r="AD48" s="46"/>
      <c r="AE48" s="50" t="e">
        <f t="shared" si="15"/>
        <v>#REF!</v>
      </c>
      <c r="AF48" s="51" t="e">
        <f t="shared" si="16"/>
        <v>#REF!</v>
      </c>
      <c r="AG48" s="62" t="e">
        <f t="shared" si="17"/>
        <v>#REF!</v>
      </c>
      <c r="AH48" s="17" t="e">
        <f t="shared" si="18"/>
        <v>#REF!</v>
      </c>
    </row>
    <row r="49" spans="1:34">
      <c r="A49" s="112"/>
      <c r="B49" s="113"/>
      <c r="C49" s="113"/>
      <c r="D49" s="114">
        <f t="shared" si="0"/>
        <v>0</v>
      </c>
      <c r="E49" s="19" t="e">
        <f t="shared" si="1"/>
        <v>#DIV/0!</v>
      </c>
      <c r="F49" s="16" t="e">
        <f t="shared" si="21"/>
        <v>#DIV/0!</v>
      </c>
      <c r="G49" s="16" t="e">
        <f t="shared" si="22"/>
        <v>#DIV/0!</v>
      </c>
      <c r="H49" s="16" t="e">
        <f t="shared" si="23"/>
        <v>#DIV/0!</v>
      </c>
      <c r="I49" s="16" t="e">
        <f t="shared" si="24"/>
        <v>#DIV/0!</v>
      </c>
      <c r="J49" s="16" t="e">
        <f t="shared" si="24"/>
        <v>#DIV/0!</v>
      </c>
      <c r="K49" s="16" t="e">
        <f t="shared" si="19"/>
        <v>#DIV/0!</v>
      </c>
      <c r="L49" s="16" t="e">
        <f t="shared" si="20"/>
        <v>#DIV/0!</v>
      </c>
      <c r="M49" s="104"/>
      <c r="N49" s="104"/>
      <c r="O49" s="47" t="e">
        <f t="shared" si="25"/>
        <v>#DIV/0!</v>
      </c>
      <c r="P49" s="17" t="e">
        <f t="shared" si="26"/>
        <v>#DIV/0!</v>
      </c>
      <c r="Q49" s="62" t="e">
        <f t="shared" si="27"/>
        <v>#DIV/0!</v>
      </c>
      <c r="R49" s="17" t="e">
        <f t="shared" si="28"/>
        <v>#DIV/0!</v>
      </c>
      <c r="S49" s="45"/>
      <c r="T49" s="48"/>
      <c r="U49" s="48"/>
      <c r="V49" s="18">
        <f t="shared" si="10"/>
        <v>0</v>
      </c>
      <c r="W49" s="56" t="e">
        <f>IF(#REF!&gt;DATE(2010,9,30),ROUNDUP(ABS( V49/U49 ),3),ROUNDUP(ABS( (T49-T50)/T50 ),3))</f>
        <v>#REF!</v>
      </c>
      <c r="X49" s="49" t="e">
        <f t="shared" si="11"/>
        <v>#REF!</v>
      </c>
      <c r="Y49" s="49" t="e">
        <f t="shared" si="12"/>
        <v>#REF!</v>
      </c>
      <c r="Z49" s="49" t="e">
        <f t="shared" si="13"/>
        <v>#REF!</v>
      </c>
      <c r="AA49" s="49" t="e">
        <f t="shared" si="14"/>
        <v>#REF!</v>
      </c>
      <c r="AB49" s="16" t="e">
        <f>IF(S49&gt;=#REF!,ROUND(MAX(AVERAGE(X49:AA49),AB$1),4),ROUND(MAX(AVERAGE(X49:AA49),AC$1),4))</f>
        <v>#REF!</v>
      </c>
      <c r="AC49" s="46"/>
      <c r="AD49" s="46"/>
      <c r="AE49" s="50" t="e">
        <f t="shared" si="15"/>
        <v>#REF!</v>
      </c>
      <c r="AF49" s="51" t="e">
        <f t="shared" si="16"/>
        <v>#REF!</v>
      </c>
      <c r="AG49" s="62" t="e">
        <f t="shared" si="17"/>
        <v>#REF!</v>
      </c>
      <c r="AH49" s="17" t="e">
        <f t="shared" si="18"/>
        <v>#REF!</v>
      </c>
    </row>
    <row r="50" spans="1:34">
      <c r="A50" s="112"/>
      <c r="B50" s="113"/>
      <c r="C50" s="113"/>
      <c r="D50" s="114">
        <f t="shared" si="0"/>
        <v>0</v>
      </c>
      <c r="E50" s="19" t="e">
        <f t="shared" si="1"/>
        <v>#DIV/0!</v>
      </c>
      <c r="F50" s="16" t="e">
        <f t="shared" si="21"/>
        <v>#DIV/0!</v>
      </c>
      <c r="G50" s="16" t="e">
        <f t="shared" si="22"/>
        <v>#DIV/0!</v>
      </c>
      <c r="H50" s="16" t="e">
        <f t="shared" si="23"/>
        <v>#DIV/0!</v>
      </c>
      <c r="I50" s="16" t="e">
        <f t="shared" si="24"/>
        <v>#DIV/0!</v>
      </c>
      <c r="J50" s="16" t="e">
        <f t="shared" si="24"/>
        <v>#DIV/0!</v>
      </c>
      <c r="K50" s="16" t="e">
        <f t="shared" si="19"/>
        <v>#DIV/0!</v>
      </c>
      <c r="L50" s="16" t="e">
        <f t="shared" si="20"/>
        <v>#DIV/0!</v>
      </c>
      <c r="M50" s="104"/>
      <c r="N50" s="104"/>
      <c r="O50" s="47" t="e">
        <f t="shared" si="25"/>
        <v>#DIV/0!</v>
      </c>
      <c r="P50" s="17" t="e">
        <f t="shared" si="26"/>
        <v>#DIV/0!</v>
      </c>
      <c r="Q50" s="62" t="e">
        <f t="shared" si="27"/>
        <v>#DIV/0!</v>
      </c>
      <c r="R50" s="17" t="e">
        <f t="shared" si="28"/>
        <v>#DIV/0!</v>
      </c>
      <c r="S50" s="45"/>
      <c r="T50" s="48"/>
      <c r="U50" s="48"/>
      <c r="V50" s="18">
        <f t="shared" si="10"/>
        <v>0</v>
      </c>
      <c r="W50" s="56" t="e">
        <f>IF(#REF!&gt;DATE(2010,9,30),ROUNDUP(ABS( V50/U50 ),3),ROUNDUP(ABS( (T50-T51)/T51 ),3))</f>
        <v>#REF!</v>
      </c>
      <c r="X50" s="49" t="e">
        <f t="shared" si="11"/>
        <v>#REF!</v>
      </c>
      <c r="Y50" s="49" t="e">
        <f t="shared" si="12"/>
        <v>#REF!</v>
      </c>
      <c r="Z50" s="49" t="e">
        <f t="shared" si="13"/>
        <v>#REF!</v>
      </c>
      <c r="AA50" s="49" t="e">
        <f t="shared" si="14"/>
        <v>#REF!</v>
      </c>
      <c r="AB50" s="16" t="e">
        <f>IF(S50&gt;=#REF!,ROUND(MAX(AVERAGE(X50:AA50),AB$1),4),ROUND(MAX(AVERAGE(X50:AA50),AC$1),4))</f>
        <v>#REF!</v>
      </c>
      <c r="AC50" s="46"/>
      <c r="AD50" s="46"/>
      <c r="AE50" s="50" t="e">
        <f t="shared" si="15"/>
        <v>#REF!</v>
      </c>
      <c r="AF50" s="51" t="e">
        <f t="shared" si="16"/>
        <v>#REF!</v>
      </c>
      <c r="AG50" s="62" t="e">
        <f t="shared" si="17"/>
        <v>#REF!</v>
      </c>
      <c r="AH50" s="17" t="e">
        <f t="shared" si="18"/>
        <v>#REF!</v>
      </c>
    </row>
    <row r="51" spans="1:34">
      <c r="A51" s="112"/>
      <c r="B51" s="113"/>
      <c r="C51" s="113"/>
      <c r="D51" s="114">
        <f t="shared" si="0"/>
        <v>0</v>
      </c>
      <c r="E51" s="19" t="e">
        <f t="shared" si="1"/>
        <v>#DIV/0!</v>
      </c>
      <c r="F51" s="16" t="e">
        <f t="shared" si="21"/>
        <v>#DIV/0!</v>
      </c>
      <c r="G51" s="16" t="e">
        <f t="shared" si="22"/>
        <v>#DIV/0!</v>
      </c>
      <c r="H51" s="16" t="e">
        <f t="shared" si="23"/>
        <v>#DIV/0!</v>
      </c>
      <c r="I51" s="16" t="e">
        <f t="shared" si="24"/>
        <v>#DIV/0!</v>
      </c>
      <c r="J51" s="16" t="e">
        <f t="shared" si="24"/>
        <v>#DIV/0!</v>
      </c>
      <c r="K51" s="16" t="e">
        <f t="shared" si="19"/>
        <v>#DIV/0!</v>
      </c>
      <c r="L51" s="16" t="e">
        <f t="shared" si="20"/>
        <v>#DIV/0!</v>
      </c>
      <c r="M51" s="104"/>
      <c r="N51" s="104"/>
      <c r="O51" s="47" t="e">
        <f t="shared" si="25"/>
        <v>#DIV/0!</v>
      </c>
      <c r="P51" s="17" t="e">
        <f t="shared" si="26"/>
        <v>#DIV/0!</v>
      </c>
      <c r="Q51" s="62" t="e">
        <f t="shared" si="27"/>
        <v>#DIV/0!</v>
      </c>
      <c r="R51" s="17" t="e">
        <f t="shared" si="28"/>
        <v>#DIV/0!</v>
      </c>
      <c r="S51" s="45"/>
      <c r="T51" s="48"/>
      <c r="U51" s="48"/>
      <c r="V51" s="18">
        <f t="shared" si="10"/>
        <v>0</v>
      </c>
      <c r="W51" s="56" t="e">
        <f>IF(#REF!&gt;DATE(2010,9,30),ROUNDUP(ABS( V51/U51 ),3),ROUNDUP(ABS( (T51-T52)/T52 ),3))</f>
        <v>#REF!</v>
      </c>
      <c r="X51" s="49" t="e">
        <f t="shared" si="11"/>
        <v>#REF!</v>
      </c>
      <c r="Y51" s="49" t="e">
        <f t="shared" si="12"/>
        <v>#REF!</v>
      </c>
      <c r="Z51" s="49" t="e">
        <f t="shared" si="13"/>
        <v>#REF!</v>
      </c>
      <c r="AA51" s="49" t="e">
        <f t="shared" si="14"/>
        <v>#REF!</v>
      </c>
      <c r="AB51" s="16" t="e">
        <f>IF(S51&gt;=#REF!,ROUND(MAX(AVERAGE(X51:AA51),AB$1),4),ROUND(MAX(AVERAGE(X51:AA51),AC$1),4))</f>
        <v>#REF!</v>
      </c>
      <c r="AC51" s="46"/>
      <c r="AD51" s="46"/>
      <c r="AE51" s="50" t="e">
        <f t="shared" si="15"/>
        <v>#REF!</v>
      </c>
      <c r="AF51" s="51" t="e">
        <f t="shared" si="16"/>
        <v>#REF!</v>
      </c>
      <c r="AG51" s="62" t="e">
        <f t="shared" si="17"/>
        <v>#REF!</v>
      </c>
      <c r="AH51" s="17" t="e">
        <f t="shared" si="18"/>
        <v>#REF!</v>
      </c>
    </row>
    <row r="52" spans="1:34">
      <c r="A52" s="112"/>
      <c r="B52" s="113"/>
      <c r="C52" s="113"/>
      <c r="D52" s="114">
        <f t="shared" si="0"/>
        <v>0</v>
      </c>
      <c r="E52" s="19" t="e">
        <f t="shared" si="1"/>
        <v>#DIV/0!</v>
      </c>
      <c r="F52" s="16" t="e">
        <f t="shared" si="21"/>
        <v>#DIV/0!</v>
      </c>
      <c r="G52" s="16" t="e">
        <f t="shared" si="22"/>
        <v>#DIV/0!</v>
      </c>
      <c r="H52" s="16" t="e">
        <f t="shared" si="23"/>
        <v>#DIV/0!</v>
      </c>
      <c r="I52" s="16" t="e">
        <f t="shared" si="24"/>
        <v>#DIV/0!</v>
      </c>
      <c r="J52" s="16" t="e">
        <f t="shared" si="24"/>
        <v>#DIV/0!</v>
      </c>
      <c r="K52" s="16" t="e">
        <f t="shared" si="19"/>
        <v>#DIV/0!</v>
      </c>
      <c r="L52" s="16" t="e">
        <f t="shared" si="20"/>
        <v>#DIV/0!</v>
      </c>
      <c r="M52" s="104"/>
      <c r="N52" s="104"/>
      <c r="O52" s="47" t="e">
        <f t="shared" si="25"/>
        <v>#DIV/0!</v>
      </c>
      <c r="P52" s="17" t="e">
        <f t="shared" si="26"/>
        <v>#DIV/0!</v>
      </c>
      <c r="Q52" s="62" t="e">
        <f t="shared" si="27"/>
        <v>#DIV/0!</v>
      </c>
      <c r="R52" s="17" t="e">
        <f t="shared" si="28"/>
        <v>#DIV/0!</v>
      </c>
      <c r="S52" s="45"/>
      <c r="T52" s="48"/>
      <c r="U52" s="48"/>
      <c r="V52" s="18">
        <f t="shared" si="10"/>
        <v>0</v>
      </c>
      <c r="W52" s="56" t="e">
        <f>IF(#REF!&gt;DATE(2010,9,30),ROUNDUP(ABS( V52/U52 ),3),ROUNDUP(ABS( (T52-T53)/T53 ),3))</f>
        <v>#REF!</v>
      </c>
      <c r="X52" s="49" t="e">
        <f t="shared" si="11"/>
        <v>#REF!</v>
      </c>
      <c r="Y52" s="49" t="e">
        <f t="shared" si="12"/>
        <v>#REF!</v>
      </c>
      <c r="Z52" s="49" t="e">
        <f t="shared" si="13"/>
        <v>#REF!</v>
      </c>
      <c r="AA52" s="49" t="e">
        <f t="shared" si="14"/>
        <v>#REF!</v>
      </c>
      <c r="AB52" s="16" t="e">
        <f>IF(S52&gt;=#REF!,ROUND(MAX(AVERAGE(X52:AA52),AB$1),4),ROUND(MAX(AVERAGE(X52:AA52),AC$1),4))</f>
        <v>#REF!</v>
      </c>
      <c r="AC52" s="46"/>
      <c r="AD52" s="46"/>
      <c r="AE52" s="50" t="e">
        <f t="shared" si="15"/>
        <v>#REF!</v>
      </c>
      <c r="AF52" s="51" t="e">
        <f t="shared" si="16"/>
        <v>#REF!</v>
      </c>
      <c r="AG52" s="62" t="e">
        <f t="shared" si="17"/>
        <v>#REF!</v>
      </c>
      <c r="AH52" s="17" t="e">
        <f t="shared" si="18"/>
        <v>#REF!</v>
      </c>
    </row>
    <row r="53" spans="1:34">
      <c r="A53" s="112"/>
      <c r="B53" s="113"/>
      <c r="C53" s="113"/>
      <c r="D53" s="114">
        <f t="shared" si="0"/>
        <v>0</v>
      </c>
      <c r="E53" s="19" t="e">
        <f t="shared" si="1"/>
        <v>#DIV/0!</v>
      </c>
      <c r="F53" s="16" t="e">
        <f t="shared" si="21"/>
        <v>#DIV/0!</v>
      </c>
      <c r="G53" s="16" t="e">
        <f t="shared" si="22"/>
        <v>#DIV/0!</v>
      </c>
      <c r="H53" s="16" t="e">
        <f t="shared" si="23"/>
        <v>#DIV/0!</v>
      </c>
      <c r="I53" s="16" t="e">
        <f t="shared" si="24"/>
        <v>#DIV/0!</v>
      </c>
      <c r="J53" s="16" t="e">
        <f t="shared" si="24"/>
        <v>#DIV/0!</v>
      </c>
      <c r="K53" s="16" t="e">
        <f t="shared" si="19"/>
        <v>#DIV/0!</v>
      </c>
      <c r="L53" s="16" t="e">
        <f t="shared" si="20"/>
        <v>#DIV/0!</v>
      </c>
      <c r="M53" s="104"/>
      <c r="N53" s="104"/>
      <c r="O53" s="47" t="e">
        <f t="shared" si="25"/>
        <v>#DIV/0!</v>
      </c>
      <c r="P53" s="17" t="e">
        <f t="shared" si="26"/>
        <v>#DIV/0!</v>
      </c>
      <c r="Q53" s="62" t="e">
        <f t="shared" si="27"/>
        <v>#DIV/0!</v>
      </c>
      <c r="R53" s="17" t="e">
        <f t="shared" si="28"/>
        <v>#DIV/0!</v>
      </c>
      <c r="S53" s="45"/>
      <c r="T53" s="48"/>
      <c r="U53" s="48"/>
      <c r="V53" s="18">
        <f t="shared" si="10"/>
        <v>0</v>
      </c>
      <c r="W53" s="56" t="e">
        <f>IF(#REF!&gt;DATE(2010,9,30),ROUNDUP(ABS( V53/U53 ),3),ROUNDUP(ABS( (T53-T54)/T54 ),3))</f>
        <v>#REF!</v>
      </c>
      <c r="X53" s="49" t="e">
        <f t="shared" si="11"/>
        <v>#REF!</v>
      </c>
      <c r="Y53" s="49" t="e">
        <f t="shared" si="12"/>
        <v>#REF!</v>
      </c>
      <c r="Z53" s="49" t="e">
        <f t="shared" si="13"/>
        <v>#REF!</v>
      </c>
      <c r="AA53" s="49" t="e">
        <f t="shared" si="14"/>
        <v>#REF!</v>
      </c>
      <c r="AB53" s="16" t="e">
        <f>IF(S53&gt;=#REF!,ROUND(MAX(AVERAGE(X53:AA53),AB$1),4),ROUND(MAX(AVERAGE(X53:AA53),AC$1),4))</f>
        <v>#REF!</v>
      </c>
      <c r="AC53" s="46"/>
      <c r="AD53" s="46"/>
      <c r="AE53" s="50" t="e">
        <f t="shared" si="15"/>
        <v>#REF!</v>
      </c>
      <c r="AF53" s="51" t="e">
        <f t="shared" si="16"/>
        <v>#REF!</v>
      </c>
      <c r="AG53" s="62" t="e">
        <f t="shared" si="17"/>
        <v>#REF!</v>
      </c>
      <c r="AH53" s="17" t="e">
        <f t="shared" si="18"/>
        <v>#REF!</v>
      </c>
    </row>
    <row r="54" spans="1:34">
      <c r="A54" s="112"/>
      <c r="B54" s="113"/>
      <c r="C54" s="113"/>
      <c r="D54" s="114">
        <f t="shared" si="0"/>
        <v>0</v>
      </c>
      <c r="E54" s="19" t="e">
        <f t="shared" si="1"/>
        <v>#DIV/0!</v>
      </c>
      <c r="F54" s="16" t="e">
        <f t="shared" si="21"/>
        <v>#DIV/0!</v>
      </c>
      <c r="G54" s="16" t="e">
        <f t="shared" si="22"/>
        <v>#DIV/0!</v>
      </c>
      <c r="H54" s="16" t="e">
        <f t="shared" si="23"/>
        <v>#DIV/0!</v>
      </c>
      <c r="I54" s="16" t="e">
        <f t="shared" si="24"/>
        <v>#DIV/0!</v>
      </c>
      <c r="J54" s="16" t="e">
        <f t="shared" si="24"/>
        <v>#DIV/0!</v>
      </c>
      <c r="K54" s="16" t="e">
        <f t="shared" si="19"/>
        <v>#DIV/0!</v>
      </c>
      <c r="L54" s="16" t="e">
        <f t="shared" si="20"/>
        <v>#DIV/0!</v>
      </c>
      <c r="M54" s="104"/>
      <c r="N54" s="104"/>
      <c r="O54" s="47" t="e">
        <f t="shared" si="25"/>
        <v>#DIV/0!</v>
      </c>
      <c r="P54" s="17" t="e">
        <f t="shared" si="26"/>
        <v>#DIV/0!</v>
      </c>
      <c r="Q54" s="62" t="e">
        <f t="shared" si="27"/>
        <v>#DIV/0!</v>
      </c>
      <c r="R54" s="17" t="e">
        <f t="shared" si="28"/>
        <v>#DIV/0!</v>
      </c>
      <c r="S54" s="45"/>
      <c r="T54" s="48"/>
      <c r="U54" s="48"/>
      <c r="V54" s="18">
        <f t="shared" si="10"/>
        <v>0</v>
      </c>
      <c r="W54" s="56" t="e">
        <f>IF(#REF!&gt;DATE(2010,9,30),ROUNDUP(ABS( V54/U54 ),3),ROUNDUP(ABS( (T54-T55)/T55 ),3))</f>
        <v>#REF!</v>
      </c>
      <c r="X54" s="49" t="e">
        <f t="shared" si="11"/>
        <v>#REF!</v>
      </c>
      <c r="Y54" s="49" t="e">
        <f t="shared" si="12"/>
        <v>#REF!</v>
      </c>
      <c r="Z54" s="49" t="e">
        <f t="shared" si="13"/>
        <v>#REF!</v>
      </c>
      <c r="AA54" s="49" t="e">
        <f t="shared" si="14"/>
        <v>#REF!</v>
      </c>
      <c r="AB54" s="16" t="e">
        <f>IF(S54&gt;=#REF!,ROUND(MAX(AVERAGE(X54:AA54),AB$1),4),ROUND(MAX(AVERAGE(X54:AA54),AC$1),4))</f>
        <v>#REF!</v>
      </c>
      <c r="AC54" s="46"/>
      <c r="AD54" s="46"/>
      <c r="AE54" s="50" t="e">
        <f t="shared" si="15"/>
        <v>#REF!</v>
      </c>
      <c r="AF54" s="51" t="e">
        <f t="shared" si="16"/>
        <v>#REF!</v>
      </c>
      <c r="AG54" s="62" t="e">
        <f t="shared" si="17"/>
        <v>#REF!</v>
      </c>
      <c r="AH54" s="17" t="e">
        <f t="shared" si="18"/>
        <v>#REF!</v>
      </c>
    </row>
    <row r="55" spans="1:34">
      <c r="A55" s="112"/>
      <c r="B55" s="113"/>
      <c r="C55" s="113"/>
      <c r="D55" s="114">
        <f t="shared" si="0"/>
        <v>0</v>
      </c>
      <c r="E55" s="19" t="e">
        <f t="shared" si="1"/>
        <v>#DIV/0!</v>
      </c>
      <c r="F55" s="16" t="e">
        <f t="shared" si="21"/>
        <v>#DIV/0!</v>
      </c>
      <c r="G55" s="16" t="e">
        <f t="shared" si="22"/>
        <v>#DIV/0!</v>
      </c>
      <c r="H55" s="16" t="e">
        <f t="shared" si="23"/>
        <v>#DIV/0!</v>
      </c>
      <c r="I55" s="16" t="e">
        <f t="shared" si="24"/>
        <v>#DIV/0!</v>
      </c>
      <c r="J55" s="16" t="e">
        <f t="shared" si="24"/>
        <v>#DIV/0!</v>
      </c>
      <c r="K55" s="16" t="e">
        <f t="shared" si="19"/>
        <v>#DIV/0!</v>
      </c>
      <c r="L55" s="16" t="e">
        <f t="shared" si="20"/>
        <v>#DIV/0!</v>
      </c>
      <c r="M55" s="104"/>
      <c r="N55" s="104"/>
      <c r="O55" s="47" t="e">
        <f t="shared" si="25"/>
        <v>#DIV/0!</v>
      </c>
      <c r="P55" s="17" t="e">
        <f t="shared" si="26"/>
        <v>#DIV/0!</v>
      </c>
      <c r="Q55" s="62" t="e">
        <f t="shared" si="27"/>
        <v>#DIV/0!</v>
      </c>
      <c r="R55" s="17" t="e">
        <f t="shared" si="28"/>
        <v>#DIV/0!</v>
      </c>
      <c r="S55" s="45"/>
      <c r="T55" s="48"/>
      <c r="U55" s="48"/>
      <c r="V55" s="18">
        <f t="shared" si="10"/>
        <v>0</v>
      </c>
      <c r="W55" s="56" t="e">
        <f>IF(#REF!&gt;DATE(2010,9,30),ROUNDUP(ABS( V55/U55 ),3),ROUNDUP(ABS( (T55-T56)/T56 ),3))</f>
        <v>#REF!</v>
      </c>
      <c r="X55" s="49" t="e">
        <f t="shared" si="11"/>
        <v>#REF!</v>
      </c>
      <c r="Y55" s="49" t="e">
        <f t="shared" si="12"/>
        <v>#REF!</v>
      </c>
      <c r="Z55" s="49" t="e">
        <f t="shared" si="13"/>
        <v>#REF!</v>
      </c>
      <c r="AA55" s="49" t="e">
        <f t="shared" si="14"/>
        <v>#REF!</v>
      </c>
      <c r="AB55" s="16" t="e">
        <f>IF(S55&gt;=#REF!,ROUND(MAX(AVERAGE(X55:AA55),AB$1),4),ROUND(MAX(AVERAGE(X55:AA55),AC$1),4))</f>
        <v>#REF!</v>
      </c>
      <c r="AC55" s="46"/>
      <c r="AD55" s="46"/>
      <c r="AE55" s="50" t="e">
        <f t="shared" si="15"/>
        <v>#REF!</v>
      </c>
      <c r="AF55" s="51" t="e">
        <f t="shared" si="16"/>
        <v>#REF!</v>
      </c>
      <c r="AG55" s="62" t="e">
        <f t="shared" si="17"/>
        <v>#REF!</v>
      </c>
      <c r="AH55" s="17" t="e">
        <f t="shared" si="18"/>
        <v>#REF!</v>
      </c>
    </row>
    <row r="56" spans="1:34">
      <c r="A56" s="112"/>
      <c r="B56" s="113"/>
      <c r="C56" s="113"/>
      <c r="D56" s="114">
        <f t="shared" si="0"/>
        <v>0</v>
      </c>
      <c r="E56" s="19" t="e">
        <f t="shared" si="1"/>
        <v>#DIV/0!</v>
      </c>
      <c r="F56" s="16" t="e">
        <f t="shared" si="21"/>
        <v>#DIV/0!</v>
      </c>
      <c r="G56" s="16" t="e">
        <f t="shared" si="22"/>
        <v>#DIV/0!</v>
      </c>
      <c r="H56" s="16" t="e">
        <f t="shared" si="23"/>
        <v>#DIV/0!</v>
      </c>
      <c r="I56" s="16" t="e">
        <f t="shared" si="24"/>
        <v>#DIV/0!</v>
      </c>
      <c r="J56" s="16" t="e">
        <f t="shared" si="24"/>
        <v>#DIV/0!</v>
      </c>
      <c r="K56" s="16" t="e">
        <f t="shared" si="19"/>
        <v>#DIV/0!</v>
      </c>
      <c r="L56" s="16" t="e">
        <f t="shared" si="20"/>
        <v>#DIV/0!</v>
      </c>
      <c r="M56" s="104"/>
      <c r="N56" s="104"/>
      <c r="O56" s="47" t="e">
        <f t="shared" si="25"/>
        <v>#DIV/0!</v>
      </c>
      <c r="P56" s="17" t="e">
        <f t="shared" si="26"/>
        <v>#DIV/0!</v>
      </c>
      <c r="Q56" s="62" t="e">
        <f t="shared" si="27"/>
        <v>#DIV/0!</v>
      </c>
      <c r="R56" s="17" t="e">
        <f t="shared" si="28"/>
        <v>#DIV/0!</v>
      </c>
      <c r="S56" s="45"/>
      <c r="T56" s="48"/>
      <c r="U56" s="48"/>
      <c r="V56" s="18">
        <f t="shared" si="10"/>
        <v>0</v>
      </c>
      <c r="W56" s="56" t="e">
        <f>IF(#REF!&gt;DATE(2010,9,30),ROUNDUP(ABS( V56/U56 ),3),ROUNDUP(ABS( (T56-T57)/T57 ),3))</f>
        <v>#REF!</v>
      </c>
      <c r="X56" s="49" t="e">
        <f t="shared" si="11"/>
        <v>#REF!</v>
      </c>
      <c r="Y56" s="49" t="e">
        <f t="shared" si="12"/>
        <v>#REF!</v>
      </c>
      <c r="Z56" s="49" t="e">
        <f t="shared" si="13"/>
        <v>#REF!</v>
      </c>
      <c r="AA56" s="49" t="e">
        <f t="shared" si="14"/>
        <v>#REF!</v>
      </c>
      <c r="AB56" s="16" t="e">
        <f>IF(S56&gt;=#REF!,ROUND(MAX(AVERAGE(X56:AA56),AB$1),4),ROUND(MAX(AVERAGE(X56:AA56),AC$1),4))</f>
        <v>#REF!</v>
      </c>
      <c r="AC56" s="46"/>
      <c r="AD56" s="46"/>
      <c r="AE56" s="50" t="e">
        <f t="shared" si="15"/>
        <v>#REF!</v>
      </c>
      <c r="AF56" s="51" t="e">
        <f t="shared" si="16"/>
        <v>#REF!</v>
      </c>
      <c r="AG56" s="62" t="e">
        <f t="shared" si="17"/>
        <v>#REF!</v>
      </c>
      <c r="AH56" s="17" t="e">
        <f t="shared" si="18"/>
        <v>#REF!</v>
      </c>
    </row>
    <row r="57" spans="1:34">
      <c r="A57" s="112"/>
      <c r="B57" s="113"/>
      <c r="C57" s="113"/>
      <c r="D57" s="114">
        <f t="shared" si="0"/>
        <v>0</v>
      </c>
      <c r="E57" s="19" t="e">
        <f t="shared" si="1"/>
        <v>#DIV/0!</v>
      </c>
      <c r="F57" s="16" t="e">
        <f t="shared" si="21"/>
        <v>#DIV/0!</v>
      </c>
      <c r="G57" s="16" t="e">
        <f t="shared" si="22"/>
        <v>#DIV/0!</v>
      </c>
      <c r="H57" s="16" t="e">
        <f t="shared" si="23"/>
        <v>#DIV/0!</v>
      </c>
      <c r="I57" s="16" t="e">
        <f t="shared" si="24"/>
        <v>#DIV/0!</v>
      </c>
      <c r="J57" s="16" t="e">
        <f t="shared" si="24"/>
        <v>#DIV/0!</v>
      </c>
      <c r="K57" s="16" t="e">
        <f t="shared" si="19"/>
        <v>#DIV/0!</v>
      </c>
      <c r="L57" s="16" t="e">
        <f t="shared" si="20"/>
        <v>#DIV/0!</v>
      </c>
      <c r="M57" s="104"/>
      <c r="N57" s="104"/>
      <c r="O57" s="47" t="e">
        <f t="shared" si="25"/>
        <v>#DIV/0!</v>
      </c>
      <c r="P57" s="17" t="e">
        <f t="shared" si="26"/>
        <v>#DIV/0!</v>
      </c>
      <c r="Q57" s="62" t="e">
        <f t="shared" si="27"/>
        <v>#DIV/0!</v>
      </c>
      <c r="R57" s="17" t="e">
        <f t="shared" si="28"/>
        <v>#DIV/0!</v>
      </c>
      <c r="S57" s="45"/>
      <c r="T57" s="48"/>
      <c r="U57" s="48"/>
      <c r="V57" s="18">
        <f t="shared" si="10"/>
        <v>0</v>
      </c>
      <c r="W57" s="56" t="e">
        <f>IF(#REF!&gt;DATE(2010,9,30),ROUNDUP(ABS( V57/U57 ),3),ROUNDUP(ABS( (T57-T58)/T58 ),3))</f>
        <v>#REF!</v>
      </c>
      <c r="X57" s="49" t="e">
        <f t="shared" si="11"/>
        <v>#REF!</v>
      </c>
      <c r="Y57" s="49" t="e">
        <f t="shared" si="12"/>
        <v>#REF!</v>
      </c>
      <c r="Z57" s="49" t="e">
        <f t="shared" si="13"/>
        <v>#REF!</v>
      </c>
      <c r="AA57" s="49" t="e">
        <f t="shared" si="14"/>
        <v>#REF!</v>
      </c>
      <c r="AB57" s="16" t="e">
        <f>IF(S57&gt;=#REF!,ROUND(MAX(AVERAGE(X57:AA57),AB$1),4),ROUND(MAX(AVERAGE(X57:AA57),AC$1),4))</f>
        <v>#REF!</v>
      </c>
      <c r="AC57" s="46"/>
      <c r="AD57" s="46"/>
      <c r="AE57" s="50" t="e">
        <f t="shared" si="15"/>
        <v>#REF!</v>
      </c>
      <c r="AF57" s="51" t="e">
        <f t="shared" si="16"/>
        <v>#REF!</v>
      </c>
      <c r="AG57" s="62" t="e">
        <f t="shared" si="17"/>
        <v>#REF!</v>
      </c>
      <c r="AH57" s="17" t="e">
        <f t="shared" si="18"/>
        <v>#REF!</v>
      </c>
    </row>
    <row r="58" spans="1:34">
      <c r="A58" s="112"/>
      <c r="B58" s="113"/>
      <c r="C58" s="113"/>
      <c r="D58" s="114">
        <f t="shared" si="0"/>
        <v>0</v>
      </c>
      <c r="E58" s="19" t="e">
        <f t="shared" si="1"/>
        <v>#DIV/0!</v>
      </c>
      <c r="F58" s="16" t="e">
        <f t="shared" si="21"/>
        <v>#DIV/0!</v>
      </c>
      <c r="G58" s="16" t="e">
        <f t="shared" si="22"/>
        <v>#DIV/0!</v>
      </c>
      <c r="H58" s="16" t="e">
        <f t="shared" si="23"/>
        <v>#DIV/0!</v>
      </c>
      <c r="I58" s="16" t="e">
        <f t="shared" si="24"/>
        <v>#DIV/0!</v>
      </c>
      <c r="J58" s="16" t="e">
        <f t="shared" si="24"/>
        <v>#DIV/0!</v>
      </c>
      <c r="K58" s="16" t="e">
        <f t="shared" si="19"/>
        <v>#DIV/0!</v>
      </c>
      <c r="L58" s="16" t="e">
        <f t="shared" si="20"/>
        <v>#DIV/0!</v>
      </c>
      <c r="M58" s="104"/>
      <c r="N58" s="104"/>
      <c r="O58" s="47" t="e">
        <f t="shared" si="25"/>
        <v>#DIV/0!</v>
      </c>
      <c r="P58" s="17" t="e">
        <f t="shared" si="26"/>
        <v>#DIV/0!</v>
      </c>
      <c r="Q58" s="62" t="e">
        <f t="shared" si="27"/>
        <v>#DIV/0!</v>
      </c>
      <c r="R58" s="17" t="e">
        <f t="shared" si="28"/>
        <v>#DIV/0!</v>
      </c>
      <c r="S58" s="45"/>
      <c r="T58" s="48"/>
      <c r="U58" s="48"/>
      <c r="V58" s="18">
        <f t="shared" si="10"/>
        <v>0</v>
      </c>
      <c r="W58" s="56" t="e">
        <f>IF(#REF!&gt;DATE(2010,9,30),ROUNDUP(ABS( V58/U58 ),3),ROUNDUP(ABS( (T58-T59)/T59 ),3))</f>
        <v>#REF!</v>
      </c>
      <c r="X58" s="49" t="e">
        <f t="shared" si="11"/>
        <v>#REF!</v>
      </c>
      <c r="Y58" s="49" t="e">
        <f t="shared" si="12"/>
        <v>#REF!</v>
      </c>
      <c r="Z58" s="49" t="e">
        <f t="shared" si="13"/>
        <v>#REF!</v>
      </c>
      <c r="AA58" s="49" t="e">
        <f t="shared" si="14"/>
        <v>#REF!</v>
      </c>
      <c r="AB58" s="16" t="e">
        <f>IF(S58&gt;=#REF!,ROUND(MAX(AVERAGE(X58:AA58),AB$1),4),ROUND(MAX(AVERAGE(X58:AA58),AC$1),4))</f>
        <v>#REF!</v>
      </c>
      <c r="AC58" s="46"/>
      <c r="AD58" s="46"/>
      <c r="AE58" s="50" t="e">
        <f t="shared" si="15"/>
        <v>#REF!</v>
      </c>
      <c r="AF58" s="51" t="e">
        <f t="shared" si="16"/>
        <v>#REF!</v>
      </c>
      <c r="AG58" s="62" t="e">
        <f t="shared" si="17"/>
        <v>#REF!</v>
      </c>
      <c r="AH58" s="17" t="e">
        <f t="shared" si="18"/>
        <v>#REF!</v>
      </c>
    </row>
    <row r="59" spans="1:34">
      <c r="A59" s="112"/>
      <c r="B59" s="113"/>
      <c r="C59" s="113"/>
      <c r="D59" s="114">
        <f t="shared" si="0"/>
        <v>0</v>
      </c>
      <c r="E59" s="19" t="e">
        <f t="shared" si="1"/>
        <v>#DIV/0!</v>
      </c>
      <c r="F59" s="16" t="e">
        <f t="shared" si="21"/>
        <v>#DIV/0!</v>
      </c>
      <c r="G59" s="16" t="e">
        <f t="shared" si="22"/>
        <v>#DIV/0!</v>
      </c>
      <c r="H59" s="16" t="e">
        <f t="shared" si="23"/>
        <v>#DIV/0!</v>
      </c>
      <c r="I59" s="16" t="e">
        <f t="shared" si="24"/>
        <v>#DIV/0!</v>
      </c>
      <c r="J59" s="16" t="e">
        <f t="shared" si="24"/>
        <v>#DIV/0!</v>
      </c>
      <c r="K59" s="16" t="e">
        <f t="shared" si="19"/>
        <v>#DIV/0!</v>
      </c>
      <c r="L59" s="16" t="e">
        <f t="shared" si="20"/>
        <v>#DIV/0!</v>
      </c>
      <c r="M59" s="104"/>
      <c r="N59" s="104"/>
      <c r="O59" s="47" t="e">
        <f t="shared" si="25"/>
        <v>#DIV/0!</v>
      </c>
      <c r="P59" s="17" t="e">
        <f t="shared" si="26"/>
        <v>#DIV/0!</v>
      </c>
      <c r="Q59" s="62" t="e">
        <f t="shared" si="27"/>
        <v>#DIV/0!</v>
      </c>
      <c r="R59" s="17" t="e">
        <f t="shared" si="28"/>
        <v>#DIV/0!</v>
      </c>
      <c r="S59" s="45"/>
      <c r="T59" s="48"/>
      <c r="U59" s="48"/>
      <c r="V59" s="18">
        <f t="shared" si="10"/>
        <v>0</v>
      </c>
      <c r="W59" s="56" t="e">
        <f>IF(#REF!&gt;DATE(2010,9,30),ROUNDUP(ABS( V59/U59 ),3),ROUNDUP(ABS( (T59-T60)/T60 ),3))</f>
        <v>#REF!</v>
      </c>
      <c r="X59" s="49" t="e">
        <f t="shared" si="11"/>
        <v>#REF!</v>
      </c>
      <c r="Y59" s="49" t="e">
        <f t="shared" si="12"/>
        <v>#REF!</v>
      </c>
      <c r="Z59" s="49" t="e">
        <f t="shared" si="13"/>
        <v>#REF!</v>
      </c>
      <c r="AA59" s="49" t="e">
        <f t="shared" si="14"/>
        <v>#REF!</v>
      </c>
      <c r="AB59" s="16" t="e">
        <f>IF(S59&gt;=#REF!,ROUND(MAX(AVERAGE(X59:AA59),AB$1),4),ROUND(MAX(AVERAGE(X59:AA59),AC$1),4))</f>
        <v>#REF!</v>
      </c>
      <c r="AC59" s="46"/>
      <c r="AD59" s="46"/>
      <c r="AE59" s="50" t="e">
        <f t="shared" si="15"/>
        <v>#REF!</v>
      </c>
      <c r="AF59" s="51" t="e">
        <f t="shared" si="16"/>
        <v>#REF!</v>
      </c>
      <c r="AG59" s="62" t="e">
        <f t="shared" si="17"/>
        <v>#REF!</v>
      </c>
      <c r="AH59" s="17" t="e">
        <f t="shared" si="18"/>
        <v>#REF!</v>
      </c>
    </row>
    <row r="60" spans="1:34">
      <c r="A60" s="112"/>
      <c r="B60" s="113"/>
      <c r="C60" s="113"/>
      <c r="D60" s="114">
        <f t="shared" si="0"/>
        <v>0</v>
      </c>
      <c r="E60" s="19" t="e">
        <f t="shared" si="1"/>
        <v>#DIV/0!</v>
      </c>
      <c r="F60" s="16" t="e">
        <f t="shared" si="21"/>
        <v>#DIV/0!</v>
      </c>
      <c r="G60" s="16" t="e">
        <f t="shared" si="22"/>
        <v>#DIV/0!</v>
      </c>
      <c r="H60" s="16" t="e">
        <f t="shared" si="23"/>
        <v>#DIV/0!</v>
      </c>
      <c r="I60" s="16" t="e">
        <f t="shared" si="24"/>
        <v>#DIV/0!</v>
      </c>
      <c r="J60" s="16" t="e">
        <f t="shared" si="24"/>
        <v>#DIV/0!</v>
      </c>
      <c r="K60" s="16" t="e">
        <f t="shared" si="19"/>
        <v>#DIV/0!</v>
      </c>
      <c r="L60" s="16" t="e">
        <f t="shared" si="20"/>
        <v>#DIV/0!</v>
      </c>
      <c r="M60" s="104"/>
      <c r="N60" s="104"/>
      <c r="O60" s="47" t="e">
        <f t="shared" si="25"/>
        <v>#DIV/0!</v>
      </c>
      <c r="P60" s="17" t="e">
        <f t="shared" si="26"/>
        <v>#DIV/0!</v>
      </c>
      <c r="Q60" s="62" t="e">
        <f t="shared" si="27"/>
        <v>#DIV/0!</v>
      </c>
      <c r="R60" s="17" t="e">
        <f t="shared" si="28"/>
        <v>#DIV/0!</v>
      </c>
      <c r="S60" s="45"/>
      <c r="T60" s="48"/>
      <c r="U60" s="48"/>
      <c r="V60" s="18">
        <f t="shared" si="10"/>
        <v>0</v>
      </c>
      <c r="W60" s="56" t="e">
        <f>IF(#REF!&gt;DATE(2010,9,30),ROUNDUP(ABS( V60/U60 ),3),ROUNDUP(ABS( (T60-T61)/T61 ),3))</f>
        <v>#REF!</v>
      </c>
      <c r="X60" s="49" t="e">
        <f t="shared" si="11"/>
        <v>#REF!</v>
      </c>
      <c r="Y60" s="49" t="e">
        <f t="shared" si="12"/>
        <v>#REF!</v>
      </c>
      <c r="Z60" s="49" t="e">
        <f t="shared" si="13"/>
        <v>#REF!</v>
      </c>
      <c r="AA60" s="49" t="e">
        <f t="shared" si="14"/>
        <v>#REF!</v>
      </c>
      <c r="AB60" s="16" t="e">
        <f>IF(S60&gt;=#REF!,ROUND(MAX(AVERAGE(X60:AA60),AB$1),4),ROUND(MAX(AVERAGE(X60:AA60),AC$1),4))</f>
        <v>#REF!</v>
      </c>
      <c r="AC60" s="46"/>
      <c r="AD60" s="46"/>
      <c r="AE60" s="50" t="e">
        <f t="shared" si="15"/>
        <v>#REF!</v>
      </c>
      <c r="AF60" s="51" t="e">
        <f t="shared" si="16"/>
        <v>#REF!</v>
      </c>
      <c r="AG60" s="62" t="e">
        <f t="shared" si="17"/>
        <v>#REF!</v>
      </c>
      <c r="AH60" s="17" t="e">
        <f t="shared" si="18"/>
        <v>#REF!</v>
      </c>
    </row>
    <row r="61" spans="1:34">
      <c r="A61" s="112"/>
      <c r="B61" s="113"/>
      <c r="C61" s="113"/>
      <c r="D61" s="114">
        <f t="shared" si="0"/>
        <v>0</v>
      </c>
      <c r="E61" s="19" t="e">
        <f t="shared" si="1"/>
        <v>#DIV/0!</v>
      </c>
      <c r="F61" s="16" t="e">
        <f t="shared" si="21"/>
        <v>#DIV/0!</v>
      </c>
      <c r="G61" s="16" t="e">
        <f t="shared" si="22"/>
        <v>#DIV/0!</v>
      </c>
      <c r="H61" s="16" t="e">
        <f t="shared" si="23"/>
        <v>#DIV/0!</v>
      </c>
      <c r="I61" s="16" t="e">
        <f t="shared" si="24"/>
        <v>#DIV/0!</v>
      </c>
      <c r="J61" s="16" t="e">
        <f t="shared" si="24"/>
        <v>#DIV/0!</v>
      </c>
      <c r="K61" s="16" t="e">
        <f t="shared" si="19"/>
        <v>#DIV/0!</v>
      </c>
      <c r="L61" s="16" t="e">
        <f t="shared" si="20"/>
        <v>#DIV/0!</v>
      </c>
      <c r="M61" s="104"/>
      <c r="N61" s="104"/>
      <c r="O61" s="47" t="e">
        <f t="shared" si="25"/>
        <v>#DIV/0!</v>
      </c>
      <c r="P61" s="17" t="e">
        <f t="shared" si="26"/>
        <v>#DIV/0!</v>
      </c>
      <c r="Q61" s="62" t="e">
        <f t="shared" si="27"/>
        <v>#DIV/0!</v>
      </c>
      <c r="R61" s="17" t="e">
        <f t="shared" si="28"/>
        <v>#DIV/0!</v>
      </c>
      <c r="S61" s="45"/>
      <c r="T61" s="48"/>
      <c r="U61" s="48"/>
      <c r="V61" s="18">
        <f t="shared" si="10"/>
        <v>0</v>
      </c>
      <c r="W61" s="56" t="e">
        <f>IF(#REF!&gt;DATE(2010,9,30),ROUNDUP(ABS( V61/U61 ),3),ROUNDUP(ABS( (T61-T62)/T62 ),3))</f>
        <v>#REF!</v>
      </c>
      <c r="X61" s="49" t="e">
        <f t="shared" si="11"/>
        <v>#REF!</v>
      </c>
      <c r="Y61" s="49" t="e">
        <f t="shared" si="12"/>
        <v>#REF!</v>
      </c>
      <c r="Z61" s="49" t="e">
        <f t="shared" si="13"/>
        <v>#REF!</v>
      </c>
      <c r="AA61" s="49" t="e">
        <f t="shared" si="14"/>
        <v>#REF!</v>
      </c>
      <c r="AB61" s="16" t="e">
        <f>IF(S61&gt;=#REF!,ROUND(MAX(AVERAGE(X61:AA61),AB$1),4),ROUND(MAX(AVERAGE(X61:AA61),AC$1),4))</f>
        <v>#REF!</v>
      </c>
      <c r="AC61" s="46"/>
      <c r="AD61" s="46"/>
      <c r="AE61" s="50" t="e">
        <f t="shared" si="15"/>
        <v>#REF!</v>
      </c>
      <c r="AF61" s="51" t="e">
        <f t="shared" si="16"/>
        <v>#REF!</v>
      </c>
      <c r="AG61" s="62" t="e">
        <f t="shared" si="17"/>
        <v>#REF!</v>
      </c>
      <c r="AH61" s="17" t="e">
        <f t="shared" si="18"/>
        <v>#REF!</v>
      </c>
    </row>
    <row r="62" spans="1:34">
      <c r="A62" s="112"/>
      <c r="B62" s="113"/>
      <c r="C62" s="113"/>
      <c r="D62" s="114">
        <f t="shared" si="0"/>
        <v>0</v>
      </c>
      <c r="E62" s="19" t="e">
        <f t="shared" si="1"/>
        <v>#DIV/0!</v>
      </c>
      <c r="F62" s="16" t="e">
        <f t="shared" si="21"/>
        <v>#DIV/0!</v>
      </c>
      <c r="G62" s="16" t="e">
        <f t="shared" si="22"/>
        <v>#DIV/0!</v>
      </c>
      <c r="H62" s="16" t="e">
        <f t="shared" si="23"/>
        <v>#DIV/0!</v>
      </c>
      <c r="I62" s="16" t="e">
        <f t="shared" si="24"/>
        <v>#DIV/0!</v>
      </c>
      <c r="J62" s="16" t="e">
        <f t="shared" si="24"/>
        <v>#DIV/0!</v>
      </c>
      <c r="K62" s="16" t="e">
        <f t="shared" si="19"/>
        <v>#DIV/0!</v>
      </c>
      <c r="L62" s="16" t="e">
        <f t="shared" si="20"/>
        <v>#DIV/0!</v>
      </c>
      <c r="M62" s="104"/>
      <c r="N62" s="104"/>
      <c r="O62" s="47" t="e">
        <f t="shared" si="25"/>
        <v>#DIV/0!</v>
      </c>
      <c r="P62" s="17" t="e">
        <f t="shared" si="26"/>
        <v>#DIV/0!</v>
      </c>
      <c r="Q62" s="62" t="e">
        <f t="shared" si="27"/>
        <v>#DIV/0!</v>
      </c>
      <c r="R62" s="17" t="e">
        <f t="shared" si="28"/>
        <v>#DIV/0!</v>
      </c>
      <c r="S62" s="45"/>
      <c r="T62" s="48"/>
      <c r="U62" s="48"/>
      <c r="V62" s="18">
        <f t="shared" si="10"/>
        <v>0</v>
      </c>
      <c r="W62" s="56" t="e">
        <f>IF(#REF!&gt;DATE(2010,9,30),ROUNDUP(ABS( V62/U62 ),3),ROUNDUP(ABS( (T62-T63)/T63 ),3))</f>
        <v>#REF!</v>
      </c>
      <c r="X62" s="49" t="e">
        <f t="shared" si="11"/>
        <v>#REF!</v>
      </c>
      <c r="Y62" s="49" t="e">
        <f t="shared" si="12"/>
        <v>#REF!</v>
      </c>
      <c r="Z62" s="49" t="e">
        <f t="shared" si="13"/>
        <v>#REF!</v>
      </c>
      <c r="AA62" s="49" t="e">
        <f t="shared" si="14"/>
        <v>#REF!</v>
      </c>
      <c r="AB62" s="16" t="e">
        <f>IF(S62&gt;=#REF!,ROUND(MAX(AVERAGE(X62:AA62),AB$1),4),ROUND(MAX(AVERAGE(X62:AA62),AC$1),4))</f>
        <v>#REF!</v>
      </c>
      <c r="AC62" s="46"/>
      <c r="AD62" s="46"/>
      <c r="AE62" s="50" t="e">
        <f t="shared" si="15"/>
        <v>#REF!</v>
      </c>
      <c r="AF62" s="51" t="e">
        <f t="shared" si="16"/>
        <v>#REF!</v>
      </c>
      <c r="AG62" s="62" t="e">
        <f t="shared" si="17"/>
        <v>#REF!</v>
      </c>
      <c r="AH62" s="17" t="e">
        <f t="shared" si="18"/>
        <v>#REF!</v>
      </c>
    </row>
    <row r="63" spans="1:34">
      <c r="A63" s="112"/>
      <c r="B63" s="113"/>
      <c r="C63" s="113"/>
      <c r="D63" s="114">
        <f t="shared" si="0"/>
        <v>0</v>
      </c>
      <c r="E63" s="19" t="e">
        <f t="shared" si="1"/>
        <v>#DIV/0!</v>
      </c>
      <c r="F63" s="16" t="e">
        <f t="shared" si="21"/>
        <v>#DIV/0!</v>
      </c>
      <c r="G63" s="16" t="e">
        <f t="shared" si="22"/>
        <v>#DIV/0!</v>
      </c>
      <c r="H63" s="16" t="e">
        <f t="shared" si="23"/>
        <v>#DIV/0!</v>
      </c>
      <c r="I63" s="16" t="e">
        <f t="shared" si="24"/>
        <v>#DIV/0!</v>
      </c>
      <c r="J63" s="16" t="e">
        <f t="shared" si="24"/>
        <v>#DIV/0!</v>
      </c>
      <c r="K63" s="16" t="e">
        <f t="shared" si="19"/>
        <v>#DIV/0!</v>
      </c>
      <c r="L63" s="16" t="e">
        <f t="shared" si="20"/>
        <v>#DIV/0!</v>
      </c>
      <c r="M63" s="104"/>
      <c r="N63" s="104"/>
      <c r="O63" s="47" t="e">
        <f t="shared" si="25"/>
        <v>#DIV/0!</v>
      </c>
      <c r="P63" s="17" t="e">
        <f t="shared" si="26"/>
        <v>#DIV/0!</v>
      </c>
      <c r="Q63" s="62" t="e">
        <f t="shared" si="27"/>
        <v>#DIV/0!</v>
      </c>
      <c r="R63" s="17" t="e">
        <f t="shared" si="28"/>
        <v>#DIV/0!</v>
      </c>
      <c r="S63" s="45"/>
      <c r="T63" s="48"/>
      <c r="U63" s="48"/>
      <c r="V63" s="18">
        <f t="shared" si="10"/>
        <v>0</v>
      </c>
      <c r="W63" s="56" t="e">
        <f>IF(#REF!&gt;DATE(2010,9,30),ROUNDUP(ABS( V63/U63 ),3),ROUNDUP(ABS( (T63-T64)/T64 ),3))</f>
        <v>#REF!</v>
      </c>
      <c r="X63" s="49" t="e">
        <f t="shared" si="11"/>
        <v>#REF!</v>
      </c>
      <c r="Y63" s="49" t="e">
        <f t="shared" si="12"/>
        <v>#REF!</v>
      </c>
      <c r="Z63" s="49" t="e">
        <f t="shared" si="13"/>
        <v>#REF!</v>
      </c>
      <c r="AA63" s="49" t="e">
        <f t="shared" si="14"/>
        <v>#REF!</v>
      </c>
      <c r="AB63" s="16" t="e">
        <f>IF(S63&gt;=#REF!,ROUND(MAX(AVERAGE(X63:AA63),AB$1),4),ROUND(MAX(AVERAGE(X63:AA63),AC$1),4))</f>
        <v>#REF!</v>
      </c>
      <c r="AC63" s="46"/>
      <c r="AD63" s="46"/>
      <c r="AE63" s="50" t="e">
        <f t="shared" si="15"/>
        <v>#REF!</v>
      </c>
      <c r="AF63" s="51" t="e">
        <f t="shared" si="16"/>
        <v>#REF!</v>
      </c>
      <c r="AG63" s="62" t="e">
        <f t="shared" si="17"/>
        <v>#REF!</v>
      </c>
      <c r="AH63" s="17" t="e">
        <f t="shared" si="18"/>
        <v>#REF!</v>
      </c>
    </row>
    <row r="64" spans="1:34">
      <c r="A64" s="112"/>
      <c r="B64" s="113"/>
      <c r="C64" s="113"/>
      <c r="D64" s="114">
        <f t="shared" si="0"/>
        <v>0</v>
      </c>
      <c r="E64" s="19" t="e">
        <f t="shared" si="1"/>
        <v>#DIV/0!</v>
      </c>
      <c r="F64" s="16" t="e">
        <f t="shared" si="21"/>
        <v>#DIV/0!</v>
      </c>
      <c r="G64" s="16" t="e">
        <f t="shared" si="22"/>
        <v>#DIV/0!</v>
      </c>
      <c r="H64" s="16" t="e">
        <f t="shared" si="23"/>
        <v>#DIV/0!</v>
      </c>
      <c r="I64" s="16" t="e">
        <f t="shared" si="24"/>
        <v>#DIV/0!</v>
      </c>
      <c r="J64" s="16" t="e">
        <f t="shared" si="24"/>
        <v>#DIV/0!</v>
      </c>
      <c r="K64" s="16" t="e">
        <f t="shared" si="19"/>
        <v>#DIV/0!</v>
      </c>
      <c r="L64" s="16" t="e">
        <f t="shared" si="20"/>
        <v>#DIV/0!</v>
      </c>
      <c r="M64" s="104"/>
      <c r="N64" s="104"/>
      <c r="O64" s="47" t="e">
        <f t="shared" si="25"/>
        <v>#DIV/0!</v>
      </c>
      <c r="P64" s="17" t="e">
        <f t="shared" si="26"/>
        <v>#DIV/0!</v>
      </c>
      <c r="Q64" s="62" t="e">
        <f t="shared" si="27"/>
        <v>#DIV/0!</v>
      </c>
      <c r="R64" s="17" t="e">
        <f t="shared" si="28"/>
        <v>#DIV/0!</v>
      </c>
      <c r="S64" s="45"/>
      <c r="T64" s="48"/>
      <c r="U64" s="48"/>
      <c r="V64" s="18">
        <f t="shared" si="10"/>
        <v>0</v>
      </c>
      <c r="W64" s="56" t="e">
        <f>IF(#REF!&gt;DATE(2010,9,30),ROUNDUP(ABS( V64/U64 ),3),ROUNDUP(ABS( (T64-T65)/T65 ),3))</f>
        <v>#REF!</v>
      </c>
      <c r="X64" s="49" t="e">
        <f t="shared" si="11"/>
        <v>#REF!</v>
      </c>
      <c r="Y64" s="49" t="e">
        <f t="shared" si="12"/>
        <v>#REF!</v>
      </c>
      <c r="Z64" s="49" t="e">
        <f t="shared" si="13"/>
        <v>#REF!</v>
      </c>
      <c r="AA64" s="49" t="e">
        <f t="shared" si="14"/>
        <v>#REF!</v>
      </c>
      <c r="AB64" s="16" t="e">
        <f>IF(S64&gt;=#REF!,ROUND(MAX(AVERAGE(X64:AA64),AB$1),4),ROUND(MAX(AVERAGE(X64:AA64),AC$1),4))</f>
        <v>#REF!</v>
      </c>
      <c r="AC64" s="46"/>
      <c r="AD64" s="46"/>
      <c r="AE64" s="50" t="e">
        <f t="shared" si="15"/>
        <v>#REF!</v>
      </c>
      <c r="AF64" s="51" t="e">
        <f t="shared" si="16"/>
        <v>#REF!</v>
      </c>
      <c r="AG64" s="62" t="e">
        <f t="shared" si="17"/>
        <v>#REF!</v>
      </c>
      <c r="AH64" s="17" t="e">
        <f t="shared" si="18"/>
        <v>#REF!</v>
      </c>
    </row>
    <row r="65" spans="1:34">
      <c r="A65" s="112"/>
      <c r="B65" s="113"/>
      <c r="C65" s="113"/>
      <c r="D65" s="114">
        <f t="shared" si="0"/>
        <v>0</v>
      </c>
      <c r="E65" s="19" t="e">
        <f t="shared" si="1"/>
        <v>#DIV/0!</v>
      </c>
      <c r="F65" s="16" t="e">
        <f t="shared" si="21"/>
        <v>#DIV/0!</v>
      </c>
      <c r="G65" s="16" t="e">
        <f t="shared" si="22"/>
        <v>#DIV/0!</v>
      </c>
      <c r="H65" s="16" t="e">
        <f t="shared" si="23"/>
        <v>#DIV/0!</v>
      </c>
      <c r="I65" s="16" t="e">
        <f t="shared" si="24"/>
        <v>#DIV/0!</v>
      </c>
      <c r="J65" s="16" t="e">
        <f t="shared" si="24"/>
        <v>#DIV/0!</v>
      </c>
      <c r="K65" s="16" t="e">
        <f t="shared" si="19"/>
        <v>#DIV/0!</v>
      </c>
      <c r="L65" s="16" t="e">
        <f t="shared" si="20"/>
        <v>#DIV/0!</v>
      </c>
      <c r="M65" s="104"/>
      <c r="N65" s="104"/>
      <c r="O65" s="47" t="e">
        <f t="shared" si="25"/>
        <v>#DIV/0!</v>
      </c>
      <c r="P65" s="17" t="e">
        <f t="shared" si="26"/>
        <v>#DIV/0!</v>
      </c>
      <c r="Q65" s="62" t="e">
        <f t="shared" si="27"/>
        <v>#DIV/0!</v>
      </c>
      <c r="R65" s="17" t="e">
        <f t="shared" si="28"/>
        <v>#DIV/0!</v>
      </c>
      <c r="S65" s="45"/>
      <c r="T65" s="48"/>
      <c r="U65" s="48"/>
      <c r="V65" s="18">
        <f t="shared" si="10"/>
        <v>0</v>
      </c>
      <c r="W65" s="56" t="e">
        <f>IF(#REF!&gt;DATE(2010,9,30),ROUNDUP(ABS( V65/U65 ),3),ROUNDUP(ABS( (T65-T66)/T66 ),3))</f>
        <v>#REF!</v>
      </c>
      <c r="X65" s="49" t="e">
        <f t="shared" si="11"/>
        <v>#REF!</v>
      </c>
      <c r="Y65" s="49" t="e">
        <f t="shared" si="12"/>
        <v>#REF!</v>
      </c>
      <c r="Z65" s="49" t="e">
        <f t="shared" si="13"/>
        <v>#REF!</v>
      </c>
      <c r="AA65" s="49" t="e">
        <f t="shared" si="14"/>
        <v>#REF!</v>
      </c>
      <c r="AB65" s="16" t="e">
        <f>IF(S65&gt;=#REF!,ROUND(MAX(AVERAGE(X65:AA65),AB$1),4),ROUND(MAX(AVERAGE(X65:AA65),AC$1),4))</f>
        <v>#REF!</v>
      </c>
      <c r="AC65" s="46"/>
      <c r="AD65" s="46"/>
      <c r="AE65" s="50" t="e">
        <f t="shared" si="15"/>
        <v>#REF!</v>
      </c>
      <c r="AF65" s="51" t="e">
        <f t="shared" si="16"/>
        <v>#REF!</v>
      </c>
      <c r="AG65" s="62" t="e">
        <f t="shared" si="17"/>
        <v>#REF!</v>
      </c>
      <c r="AH65" s="17" t="e">
        <f t="shared" si="18"/>
        <v>#REF!</v>
      </c>
    </row>
    <row r="66" spans="1:34">
      <c r="A66" s="112"/>
      <c r="B66" s="113"/>
      <c r="C66" s="113"/>
      <c r="D66" s="114">
        <f t="shared" si="0"/>
        <v>0</v>
      </c>
      <c r="E66" s="19" t="e">
        <f t="shared" si="1"/>
        <v>#DIV/0!</v>
      </c>
      <c r="F66" s="16" t="e">
        <f t="shared" si="21"/>
        <v>#DIV/0!</v>
      </c>
      <c r="G66" s="16" t="e">
        <f t="shared" si="22"/>
        <v>#DIV/0!</v>
      </c>
      <c r="H66" s="16" t="e">
        <f t="shared" si="23"/>
        <v>#DIV/0!</v>
      </c>
      <c r="I66" s="16" t="e">
        <f t="shared" si="24"/>
        <v>#DIV/0!</v>
      </c>
      <c r="J66" s="16" t="e">
        <f t="shared" si="24"/>
        <v>#DIV/0!</v>
      </c>
      <c r="K66" s="16" t="e">
        <f t="shared" si="19"/>
        <v>#DIV/0!</v>
      </c>
      <c r="L66" s="16" t="e">
        <f t="shared" si="20"/>
        <v>#DIV/0!</v>
      </c>
      <c r="M66" s="104"/>
      <c r="N66" s="104"/>
      <c r="O66" s="47" t="e">
        <f t="shared" si="25"/>
        <v>#DIV/0!</v>
      </c>
      <c r="P66" s="17" t="e">
        <f t="shared" si="26"/>
        <v>#DIV/0!</v>
      </c>
      <c r="Q66" s="62" t="e">
        <f t="shared" si="27"/>
        <v>#DIV/0!</v>
      </c>
      <c r="R66" s="17" t="e">
        <f t="shared" si="28"/>
        <v>#DIV/0!</v>
      </c>
      <c r="S66" s="45"/>
      <c r="T66" s="48"/>
      <c r="U66" s="48"/>
      <c r="V66" s="18">
        <f t="shared" si="10"/>
        <v>0</v>
      </c>
      <c r="W66" s="56" t="e">
        <f>IF(#REF!&gt;DATE(2010,9,30),ROUNDUP(ABS( V66/U66 ),3),ROUNDUP(ABS( (T66-T67)/T67 ),3))</f>
        <v>#REF!</v>
      </c>
      <c r="X66" s="49" t="e">
        <f t="shared" si="11"/>
        <v>#REF!</v>
      </c>
      <c r="Y66" s="49" t="e">
        <f t="shared" si="12"/>
        <v>#REF!</v>
      </c>
      <c r="Z66" s="49" t="e">
        <f t="shared" si="13"/>
        <v>#REF!</v>
      </c>
      <c r="AA66" s="49" t="e">
        <f t="shared" si="14"/>
        <v>#REF!</v>
      </c>
      <c r="AB66" s="16" t="e">
        <f>IF(S66&gt;=#REF!,ROUND(MAX(AVERAGE(X66:AA66),AB$1),4),ROUND(MAX(AVERAGE(X66:AA66),AC$1),4))</f>
        <v>#REF!</v>
      </c>
      <c r="AC66" s="46"/>
      <c r="AD66" s="46"/>
      <c r="AE66" s="50" t="e">
        <f t="shared" si="15"/>
        <v>#REF!</v>
      </c>
      <c r="AF66" s="51" t="e">
        <f t="shared" si="16"/>
        <v>#REF!</v>
      </c>
      <c r="AG66" s="62" t="e">
        <f t="shared" si="17"/>
        <v>#REF!</v>
      </c>
      <c r="AH66" s="17" t="e">
        <f t="shared" si="18"/>
        <v>#REF!</v>
      </c>
    </row>
    <row r="67" spans="1:34">
      <c r="A67" s="112"/>
      <c r="B67" s="113"/>
      <c r="C67" s="113"/>
      <c r="D67" s="114">
        <f t="shared" ref="D67:D130" si="29">B67-C67</f>
        <v>0</v>
      </c>
      <c r="E67" s="19" t="e">
        <f t="shared" ref="E67:E130" si="30">IF($A67&gt;DATE(2010,9,30),ROUNDUP(ABS( D67/C67 ),3),ROUNDUP(ABS( (B67-B68)/B68 ),3))</f>
        <v>#DIV/0!</v>
      </c>
      <c r="F67" s="16" t="e">
        <f t="shared" ref="F67:F78" si="31">ROUND(ROUND(AVERAGE(E67:E96),4)+2.575*ROUND(STDEV(E67:E96),4),4)</f>
        <v>#DIV/0!</v>
      </c>
      <c r="G67" s="16" t="e">
        <f t="shared" ref="G67:G78" si="32">ROUND(ROUND(AVERAGE(E67:E126),4)+2.575*ROUND(STDEV(E67:E126),4),4)</f>
        <v>#DIV/0!</v>
      </c>
      <c r="H67" s="16" t="e">
        <f t="shared" ref="H67:H78" si="33">ROUND(ROUND(AVERAGE(E67:E156),4)+2.575*ROUND(STDEV(E67:E156),4),4)</f>
        <v>#DIV/0!</v>
      </c>
      <c r="I67" s="16" t="e">
        <f t="shared" ref="I67:J78" si="34">ROUND(ROUND(AVERAGE(E67:E246),4)+2.575*ROUND(STDEV(E67:E246),4),4)</f>
        <v>#DIV/0!</v>
      </c>
      <c r="J67" s="16" t="e">
        <f t="shared" si="34"/>
        <v>#DIV/0!</v>
      </c>
      <c r="K67" s="16" t="e">
        <f t="shared" si="19"/>
        <v>#DIV/0!</v>
      </c>
      <c r="L67" s="16" t="e">
        <f t="shared" si="20"/>
        <v>#DIV/0!</v>
      </c>
      <c r="M67" s="104"/>
      <c r="N67" s="104"/>
      <c r="O67" s="47" t="e">
        <f t="shared" ref="O67:O78" si="35">B67*L67*M67</f>
        <v>#DIV/0!</v>
      </c>
      <c r="P67" s="17" t="e">
        <f t="shared" ref="P67:P78" si="36">ROUNDUP((O67-N67)/N67,3)</f>
        <v>#DIV/0!</v>
      </c>
      <c r="Q67" s="62" t="e">
        <f t="shared" ref="Q67:Q78" si="37">ROUNDUP(O67/1000,0)*1000</f>
        <v>#DIV/0!</v>
      </c>
      <c r="R67" s="17" t="e">
        <f t="shared" ref="R67:R78" si="38">ROUNDUP((Q67-N67)/N67,3)</f>
        <v>#DIV/0!</v>
      </c>
      <c r="S67" s="45"/>
      <c r="T67" s="48"/>
      <c r="U67" s="48"/>
      <c r="V67" s="18">
        <f t="shared" ref="V67:V130" si="39">T67-U67</f>
        <v>0</v>
      </c>
      <c r="W67" s="56" t="e">
        <f>IF(#REF!&gt;DATE(2010,9,30),ROUNDUP(ABS( V67/U67 ),3),ROUNDUP(ABS( (T67-T68)/T68 ),3))</f>
        <v>#REF!</v>
      </c>
      <c r="X67" s="49" t="e">
        <f t="shared" ref="X67:X78" si="40">ROUND(ROUND(AVERAGE(W67:W96),4)+2.575*ROUND(STDEV(W67:W96),4),4)</f>
        <v>#REF!</v>
      </c>
      <c r="Y67" s="49" t="e">
        <f t="shared" ref="Y67:Y78" si="41">ROUND(ROUND(AVERAGE(W67:W126),4)+2.575*ROUND(STDEV(W67:W126),4),4)</f>
        <v>#REF!</v>
      </c>
      <c r="Z67" s="49" t="e">
        <f t="shared" ref="Z67:Z78" si="42">ROUND(ROUND(AVERAGE(W67:W156),4)+2.575*ROUND(STDEV(W67:W156),4),4)</f>
        <v>#REF!</v>
      </c>
      <c r="AA67" s="49" t="e">
        <f t="shared" ref="AA67:AA78" si="43">ROUND(ROUND(AVERAGE(W67:W246),4)+2.575*ROUND(STDEV(W67:W246),4),4)</f>
        <v>#REF!</v>
      </c>
      <c r="AB67" s="16" t="e">
        <f>IF(S67&gt;=#REF!,ROUND(MAX(AVERAGE(X67:AA67),AB$1),4),ROUND(MAX(AVERAGE(X67:AA67),AC$1),4))</f>
        <v>#REF!</v>
      </c>
      <c r="AC67" s="46"/>
      <c r="AD67" s="46"/>
      <c r="AE67" s="50" t="e">
        <f t="shared" ref="AE67:AE78" si="44">T67*AB67*AC67</f>
        <v>#REF!</v>
      </c>
      <c r="AF67" s="51" t="e">
        <f t="shared" ref="AF67:AF78" si="45">ROUNDUP((AE67-AD67)/AD67,3)</f>
        <v>#REF!</v>
      </c>
      <c r="AG67" s="62" t="e">
        <f t="shared" ref="AG67:AG78" si="46">ROUNDUP(AE67/1000,0)*1000</f>
        <v>#REF!</v>
      </c>
      <c r="AH67" s="17" t="e">
        <f t="shared" ref="AH67:AH78" si="47">ROUNDUP((AG67-AD67)/AD67,3)</f>
        <v>#REF!</v>
      </c>
    </row>
    <row r="68" spans="1:34">
      <c r="A68" s="112"/>
      <c r="B68" s="113"/>
      <c r="C68" s="113"/>
      <c r="D68" s="114">
        <f t="shared" si="29"/>
        <v>0</v>
      </c>
      <c r="E68" s="19" t="e">
        <f t="shared" si="30"/>
        <v>#DIV/0!</v>
      </c>
      <c r="F68" s="16" t="e">
        <f t="shared" si="31"/>
        <v>#DIV/0!</v>
      </c>
      <c r="G68" s="16" t="e">
        <f t="shared" si="32"/>
        <v>#DIV/0!</v>
      </c>
      <c r="H68" s="16" t="e">
        <f t="shared" si="33"/>
        <v>#DIV/0!</v>
      </c>
      <c r="I68" s="16" t="e">
        <f t="shared" si="34"/>
        <v>#DIV/0!</v>
      </c>
      <c r="J68" s="16" t="e">
        <f t="shared" si="34"/>
        <v>#DIV/0!</v>
      </c>
      <c r="K68" s="16" t="e">
        <f t="shared" ref="K68:K131" si="48">AVERAGE(F68:J68)</f>
        <v>#DIV/0!</v>
      </c>
      <c r="L68" s="16" t="e">
        <f t="shared" ref="L68:L78" si="49">ROUND(MAX(AVERAGE(F68:J68),M$1),4)</f>
        <v>#DIV/0!</v>
      </c>
      <c r="M68" s="104"/>
      <c r="N68" s="104"/>
      <c r="O68" s="47" t="e">
        <f t="shared" si="35"/>
        <v>#DIV/0!</v>
      </c>
      <c r="P68" s="17" t="e">
        <f t="shared" si="36"/>
        <v>#DIV/0!</v>
      </c>
      <c r="Q68" s="62" t="e">
        <f t="shared" si="37"/>
        <v>#DIV/0!</v>
      </c>
      <c r="R68" s="17" t="e">
        <f t="shared" si="38"/>
        <v>#DIV/0!</v>
      </c>
      <c r="S68" s="45"/>
      <c r="T68" s="48"/>
      <c r="U68" s="48"/>
      <c r="V68" s="18">
        <f t="shared" si="39"/>
        <v>0</v>
      </c>
      <c r="W68" s="56" t="e">
        <f>IF(#REF!&gt;DATE(2010,9,30),ROUNDUP(ABS( V68/U68 ),3),ROUNDUP(ABS( (T68-T69)/T69 ),3))</f>
        <v>#REF!</v>
      </c>
      <c r="X68" s="49" t="e">
        <f t="shared" si="40"/>
        <v>#REF!</v>
      </c>
      <c r="Y68" s="49" t="e">
        <f t="shared" si="41"/>
        <v>#REF!</v>
      </c>
      <c r="Z68" s="49" t="e">
        <f t="shared" si="42"/>
        <v>#REF!</v>
      </c>
      <c r="AA68" s="49" t="e">
        <f t="shared" si="43"/>
        <v>#REF!</v>
      </c>
      <c r="AB68" s="16" t="e">
        <f>IF(S68&gt;=#REF!,ROUND(MAX(AVERAGE(X68:AA68),AB$1),4),ROUND(MAX(AVERAGE(X68:AA68),AC$1),4))</f>
        <v>#REF!</v>
      </c>
      <c r="AC68" s="46"/>
      <c r="AD68" s="46"/>
      <c r="AE68" s="50" t="e">
        <f t="shared" si="44"/>
        <v>#REF!</v>
      </c>
      <c r="AF68" s="51" t="e">
        <f t="shared" si="45"/>
        <v>#REF!</v>
      </c>
      <c r="AG68" s="62" t="e">
        <f t="shared" si="46"/>
        <v>#REF!</v>
      </c>
      <c r="AH68" s="17" t="e">
        <f t="shared" si="47"/>
        <v>#REF!</v>
      </c>
    </row>
    <row r="69" spans="1:34">
      <c r="A69" s="112"/>
      <c r="B69" s="113"/>
      <c r="C69" s="113"/>
      <c r="D69" s="114">
        <f t="shared" si="29"/>
        <v>0</v>
      </c>
      <c r="E69" s="19" t="e">
        <f t="shared" si="30"/>
        <v>#DIV/0!</v>
      </c>
      <c r="F69" s="16" t="e">
        <f t="shared" si="31"/>
        <v>#DIV/0!</v>
      </c>
      <c r="G69" s="16" t="e">
        <f t="shared" si="32"/>
        <v>#DIV/0!</v>
      </c>
      <c r="H69" s="16" t="e">
        <f t="shared" si="33"/>
        <v>#DIV/0!</v>
      </c>
      <c r="I69" s="16" t="e">
        <f t="shared" si="34"/>
        <v>#DIV/0!</v>
      </c>
      <c r="J69" s="16" t="e">
        <f t="shared" si="34"/>
        <v>#DIV/0!</v>
      </c>
      <c r="K69" s="16" t="e">
        <f t="shared" si="48"/>
        <v>#DIV/0!</v>
      </c>
      <c r="L69" s="16" t="e">
        <f t="shared" si="49"/>
        <v>#DIV/0!</v>
      </c>
      <c r="M69" s="104"/>
      <c r="N69" s="104"/>
      <c r="O69" s="47" t="e">
        <f t="shared" si="35"/>
        <v>#DIV/0!</v>
      </c>
      <c r="P69" s="17" t="e">
        <f t="shared" si="36"/>
        <v>#DIV/0!</v>
      </c>
      <c r="Q69" s="62" t="e">
        <f t="shared" si="37"/>
        <v>#DIV/0!</v>
      </c>
      <c r="R69" s="17" t="e">
        <f t="shared" si="38"/>
        <v>#DIV/0!</v>
      </c>
      <c r="S69" s="45"/>
      <c r="T69" s="48"/>
      <c r="U69" s="48"/>
      <c r="V69" s="18">
        <f t="shared" si="39"/>
        <v>0</v>
      </c>
      <c r="W69" s="56" t="e">
        <f>IF(#REF!&gt;DATE(2010,9,30),ROUNDUP(ABS( V69/U69 ),3),ROUNDUP(ABS( (T69-T70)/T70 ),3))</f>
        <v>#REF!</v>
      </c>
      <c r="X69" s="49" t="e">
        <f t="shared" si="40"/>
        <v>#REF!</v>
      </c>
      <c r="Y69" s="49" t="e">
        <f t="shared" si="41"/>
        <v>#REF!</v>
      </c>
      <c r="Z69" s="49" t="e">
        <f t="shared" si="42"/>
        <v>#REF!</v>
      </c>
      <c r="AA69" s="49" t="e">
        <f t="shared" si="43"/>
        <v>#REF!</v>
      </c>
      <c r="AB69" s="16" t="e">
        <f>IF(S69&gt;=#REF!,ROUND(MAX(AVERAGE(X69:AA69),AB$1),4),ROUND(MAX(AVERAGE(X69:AA69),AC$1),4))</f>
        <v>#REF!</v>
      </c>
      <c r="AC69" s="46"/>
      <c r="AD69" s="46"/>
      <c r="AE69" s="50" t="e">
        <f t="shared" si="44"/>
        <v>#REF!</v>
      </c>
      <c r="AF69" s="51" t="e">
        <f t="shared" si="45"/>
        <v>#REF!</v>
      </c>
      <c r="AG69" s="62" t="e">
        <f t="shared" si="46"/>
        <v>#REF!</v>
      </c>
      <c r="AH69" s="17" t="e">
        <f t="shared" si="47"/>
        <v>#REF!</v>
      </c>
    </row>
    <row r="70" spans="1:34">
      <c r="A70" s="112"/>
      <c r="B70" s="113"/>
      <c r="C70" s="113"/>
      <c r="D70" s="114">
        <f t="shared" si="29"/>
        <v>0</v>
      </c>
      <c r="E70" s="19" t="e">
        <f t="shared" si="30"/>
        <v>#DIV/0!</v>
      </c>
      <c r="F70" s="16" t="e">
        <f t="shared" si="31"/>
        <v>#DIV/0!</v>
      </c>
      <c r="G70" s="16" t="e">
        <f t="shared" si="32"/>
        <v>#DIV/0!</v>
      </c>
      <c r="H70" s="16" t="e">
        <f t="shared" si="33"/>
        <v>#DIV/0!</v>
      </c>
      <c r="I70" s="16" t="e">
        <f t="shared" si="34"/>
        <v>#DIV/0!</v>
      </c>
      <c r="J70" s="16" t="e">
        <f t="shared" si="34"/>
        <v>#DIV/0!</v>
      </c>
      <c r="K70" s="16" t="e">
        <f t="shared" si="48"/>
        <v>#DIV/0!</v>
      </c>
      <c r="L70" s="16" t="e">
        <f t="shared" si="49"/>
        <v>#DIV/0!</v>
      </c>
      <c r="M70" s="104"/>
      <c r="N70" s="104"/>
      <c r="O70" s="47" t="e">
        <f t="shared" si="35"/>
        <v>#DIV/0!</v>
      </c>
      <c r="P70" s="17" t="e">
        <f t="shared" si="36"/>
        <v>#DIV/0!</v>
      </c>
      <c r="Q70" s="62" t="e">
        <f t="shared" si="37"/>
        <v>#DIV/0!</v>
      </c>
      <c r="R70" s="17" t="e">
        <f t="shared" si="38"/>
        <v>#DIV/0!</v>
      </c>
      <c r="S70" s="45"/>
      <c r="T70" s="48"/>
      <c r="U70" s="48"/>
      <c r="V70" s="18">
        <f t="shared" si="39"/>
        <v>0</v>
      </c>
      <c r="W70" s="56" t="e">
        <f>IF(#REF!&gt;DATE(2010,9,30),ROUNDUP(ABS( V70/U70 ),3),ROUNDUP(ABS( (T70-T71)/T71 ),3))</f>
        <v>#REF!</v>
      </c>
      <c r="X70" s="49" t="e">
        <f t="shared" si="40"/>
        <v>#REF!</v>
      </c>
      <c r="Y70" s="49" t="e">
        <f t="shared" si="41"/>
        <v>#REF!</v>
      </c>
      <c r="Z70" s="49" t="e">
        <f t="shared" si="42"/>
        <v>#REF!</v>
      </c>
      <c r="AA70" s="49" t="e">
        <f t="shared" si="43"/>
        <v>#REF!</v>
      </c>
      <c r="AB70" s="16" t="e">
        <f>IF(S70&gt;=#REF!,ROUND(MAX(AVERAGE(X70:AA70),AB$1),4),ROUND(MAX(AVERAGE(X70:AA70),AC$1),4))</f>
        <v>#REF!</v>
      </c>
      <c r="AC70" s="46"/>
      <c r="AD70" s="46"/>
      <c r="AE70" s="50" t="e">
        <f t="shared" si="44"/>
        <v>#REF!</v>
      </c>
      <c r="AF70" s="51" t="e">
        <f t="shared" si="45"/>
        <v>#REF!</v>
      </c>
      <c r="AG70" s="62" t="e">
        <f t="shared" si="46"/>
        <v>#REF!</v>
      </c>
      <c r="AH70" s="17" t="e">
        <f t="shared" si="47"/>
        <v>#REF!</v>
      </c>
    </row>
    <row r="71" spans="1:34">
      <c r="A71" s="112"/>
      <c r="B71" s="113"/>
      <c r="C71" s="113"/>
      <c r="D71" s="114">
        <f t="shared" si="29"/>
        <v>0</v>
      </c>
      <c r="E71" s="19" t="e">
        <f t="shared" si="30"/>
        <v>#DIV/0!</v>
      </c>
      <c r="F71" s="16" t="e">
        <f t="shared" si="31"/>
        <v>#DIV/0!</v>
      </c>
      <c r="G71" s="16" t="e">
        <f t="shared" si="32"/>
        <v>#DIV/0!</v>
      </c>
      <c r="H71" s="16" t="e">
        <f t="shared" si="33"/>
        <v>#DIV/0!</v>
      </c>
      <c r="I71" s="16" t="e">
        <f t="shared" si="34"/>
        <v>#DIV/0!</v>
      </c>
      <c r="J71" s="16" t="e">
        <f t="shared" si="34"/>
        <v>#DIV/0!</v>
      </c>
      <c r="K71" s="16" t="e">
        <f t="shared" si="48"/>
        <v>#DIV/0!</v>
      </c>
      <c r="L71" s="16" t="e">
        <f t="shared" si="49"/>
        <v>#DIV/0!</v>
      </c>
      <c r="M71" s="104"/>
      <c r="N71" s="104"/>
      <c r="O71" s="47" t="e">
        <f t="shared" si="35"/>
        <v>#DIV/0!</v>
      </c>
      <c r="P71" s="17" t="e">
        <f t="shared" si="36"/>
        <v>#DIV/0!</v>
      </c>
      <c r="Q71" s="62" t="e">
        <f t="shared" si="37"/>
        <v>#DIV/0!</v>
      </c>
      <c r="R71" s="17" t="e">
        <f t="shared" si="38"/>
        <v>#DIV/0!</v>
      </c>
      <c r="S71" s="45"/>
      <c r="T71" s="48"/>
      <c r="U71" s="48"/>
      <c r="V71" s="18">
        <f t="shared" si="39"/>
        <v>0</v>
      </c>
      <c r="W71" s="56" t="e">
        <f>IF(#REF!&gt;DATE(2010,9,30),ROUNDUP(ABS( V71/U71 ),3),ROUNDUP(ABS( (T71-T72)/T72 ),3))</f>
        <v>#REF!</v>
      </c>
      <c r="X71" s="49" t="e">
        <f t="shared" si="40"/>
        <v>#REF!</v>
      </c>
      <c r="Y71" s="49" t="e">
        <f t="shared" si="41"/>
        <v>#REF!</v>
      </c>
      <c r="Z71" s="49" t="e">
        <f t="shared" si="42"/>
        <v>#REF!</v>
      </c>
      <c r="AA71" s="49" t="e">
        <f t="shared" si="43"/>
        <v>#REF!</v>
      </c>
      <c r="AB71" s="16" t="e">
        <f>IF(S71&gt;=#REF!,ROUND(MAX(AVERAGE(X71:AA71),AB$1),4),ROUND(MAX(AVERAGE(X71:AA71),AC$1),4))</f>
        <v>#REF!</v>
      </c>
      <c r="AC71" s="46"/>
      <c r="AD71" s="46"/>
      <c r="AE71" s="50" t="e">
        <f t="shared" si="44"/>
        <v>#REF!</v>
      </c>
      <c r="AF71" s="51" t="e">
        <f t="shared" si="45"/>
        <v>#REF!</v>
      </c>
      <c r="AG71" s="62" t="e">
        <f t="shared" si="46"/>
        <v>#REF!</v>
      </c>
      <c r="AH71" s="17" t="e">
        <f t="shared" si="47"/>
        <v>#REF!</v>
      </c>
    </row>
    <row r="72" spans="1:34">
      <c r="A72" s="112"/>
      <c r="B72" s="113"/>
      <c r="C72" s="113"/>
      <c r="D72" s="114">
        <f t="shared" si="29"/>
        <v>0</v>
      </c>
      <c r="E72" s="19" t="e">
        <f t="shared" si="30"/>
        <v>#DIV/0!</v>
      </c>
      <c r="F72" s="16" t="e">
        <f t="shared" si="31"/>
        <v>#DIV/0!</v>
      </c>
      <c r="G72" s="16" t="e">
        <f t="shared" si="32"/>
        <v>#DIV/0!</v>
      </c>
      <c r="H72" s="16" t="e">
        <f t="shared" si="33"/>
        <v>#DIV/0!</v>
      </c>
      <c r="I72" s="16" t="e">
        <f t="shared" si="34"/>
        <v>#DIV/0!</v>
      </c>
      <c r="J72" s="16" t="e">
        <f t="shared" si="34"/>
        <v>#DIV/0!</v>
      </c>
      <c r="K72" s="16" t="e">
        <f t="shared" si="48"/>
        <v>#DIV/0!</v>
      </c>
      <c r="L72" s="16" t="e">
        <f t="shared" si="49"/>
        <v>#DIV/0!</v>
      </c>
      <c r="M72" s="104"/>
      <c r="N72" s="104"/>
      <c r="O72" s="47" t="e">
        <f t="shared" si="35"/>
        <v>#DIV/0!</v>
      </c>
      <c r="P72" s="17" t="e">
        <f t="shared" si="36"/>
        <v>#DIV/0!</v>
      </c>
      <c r="Q72" s="62" t="e">
        <f t="shared" si="37"/>
        <v>#DIV/0!</v>
      </c>
      <c r="R72" s="17" t="e">
        <f t="shared" si="38"/>
        <v>#DIV/0!</v>
      </c>
      <c r="S72" s="45"/>
      <c r="T72" s="48"/>
      <c r="U72" s="48"/>
      <c r="V72" s="18">
        <f t="shared" si="39"/>
        <v>0</v>
      </c>
      <c r="W72" s="56" t="e">
        <f>IF(#REF!&gt;DATE(2010,9,30),ROUNDUP(ABS( V72/U72 ),3),ROUNDUP(ABS( (T72-T73)/T73 ),3))</f>
        <v>#REF!</v>
      </c>
      <c r="X72" s="49" t="e">
        <f t="shared" si="40"/>
        <v>#REF!</v>
      </c>
      <c r="Y72" s="49" t="e">
        <f t="shared" si="41"/>
        <v>#REF!</v>
      </c>
      <c r="Z72" s="49" t="e">
        <f t="shared" si="42"/>
        <v>#REF!</v>
      </c>
      <c r="AA72" s="49" t="e">
        <f t="shared" si="43"/>
        <v>#REF!</v>
      </c>
      <c r="AB72" s="16" t="e">
        <f>IF(S72&gt;=#REF!,ROUND(MAX(AVERAGE(X72:AA72),AB$1),4),ROUND(MAX(AVERAGE(X72:AA72),AC$1),4))</f>
        <v>#REF!</v>
      </c>
      <c r="AC72" s="46"/>
      <c r="AD72" s="46"/>
      <c r="AE72" s="50" t="e">
        <f t="shared" si="44"/>
        <v>#REF!</v>
      </c>
      <c r="AF72" s="51" t="e">
        <f t="shared" si="45"/>
        <v>#REF!</v>
      </c>
      <c r="AG72" s="62" t="e">
        <f t="shared" si="46"/>
        <v>#REF!</v>
      </c>
      <c r="AH72" s="17" t="e">
        <f t="shared" si="47"/>
        <v>#REF!</v>
      </c>
    </row>
    <row r="73" spans="1:34">
      <c r="A73" s="112"/>
      <c r="B73" s="113"/>
      <c r="C73" s="113"/>
      <c r="D73" s="114">
        <f t="shared" si="29"/>
        <v>0</v>
      </c>
      <c r="E73" s="19" t="e">
        <f t="shared" si="30"/>
        <v>#DIV/0!</v>
      </c>
      <c r="F73" s="16" t="e">
        <f t="shared" si="31"/>
        <v>#DIV/0!</v>
      </c>
      <c r="G73" s="16" t="e">
        <f t="shared" si="32"/>
        <v>#DIV/0!</v>
      </c>
      <c r="H73" s="16" t="e">
        <f t="shared" si="33"/>
        <v>#DIV/0!</v>
      </c>
      <c r="I73" s="16" t="e">
        <f t="shared" si="34"/>
        <v>#DIV/0!</v>
      </c>
      <c r="J73" s="16" t="e">
        <f t="shared" si="34"/>
        <v>#DIV/0!</v>
      </c>
      <c r="K73" s="16" t="e">
        <f t="shared" si="48"/>
        <v>#DIV/0!</v>
      </c>
      <c r="L73" s="16" t="e">
        <f t="shared" si="49"/>
        <v>#DIV/0!</v>
      </c>
      <c r="M73" s="104"/>
      <c r="N73" s="104"/>
      <c r="O73" s="47" t="e">
        <f t="shared" si="35"/>
        <v>#DIV/0!</v>
      </c>
      <c r="P73" s="17" t="e">
        <f t="shared" si="36"/>
        <v>#DIV/0!</v>
      </c>
      <c r="Q73" s="62" t="e">
        <f t="shared" si="37"/>
        <v>#DIV/0!</v>
      </c>
      <c r="R73" s="17" t="e">
        <f t="shared" si="38"/>
        <v>#DIV/0!</v>
      </c>
      <c r="S73" s="45"/>
      <c r="T73" s="48"/>
      <c r="U73" s="48"/>
      <c r="V73" s="18">
        <f t="shared" si="39"/>
        <v>0</v>
      </c>
      <c r="W73" s="56" t="e">
        <f>IF(#REF!&gt;DATE(2010,9,30),ROUNDUP(ABS( V73/U73 ),3),ROUNDUP(ABS( (T73-T74)/T74 ),3))</f>
        <v>#REF!</v>
      </c>
      <c r="X73" s="49" t="e">
        <f t="shared" si="40"/>
        <v>#REF!</v>
      </c>
      <c r="Y73" s="49" t="e">
        <f t="shared" si="41"/>
        <v>#REF!</v>
      </c>
      <c r="Z73" s="49" t="e">
        <f t="shared" si="42"/>
        <v>#REF!</v>
      </c>
      <c r="AA73" s="49" t="e">
        <f t="shared" si="43"/>
        <v>#REF!</v>
      </c>
      <c r="AB73" s="16" t="e">
        <f>IF(S73&gt;=#REF!,ROUND(MAX(AVERAGE(X73:AA73),AB$1),4),ROUND(MAX(AVERAGE(X73:AA73),AC$1),4))</f>
        <v>#REF!</v>
      </c>
      <c r="AC73" s="46"/>
      <c r="AD73" s="46"/>
      <c r="AE73" s="50" t="e">
        <f t="shared" si="44"/>
        <v>#REF!</v>
      </c>
      <c r="AF73" s="51" t="e">
        <f t="shared" si="45"/>
        <v>#REF!</v>
      </c>
      <c r="AG73" s="62" t="e">
        <f t="shared" si="46"/>
        <v>#REF!</v>
      </c>
      <c r="AH73" s="17" t="e">
        <f t="shared" si="47"/>
        <v>#REF!</v>
      </c>
    </row>
    <row r="74" spans="1:34">
      <c r="A74" s="112"/>
      <c r="B74" s="113"/>
      <c r="C74" s="113"/>
      <c r="D74" s="114">
        <f t="shared" si="29"/>
        <v>0</v>
      </c>
      <c r="E74" s="19" t="e">
        <f t="shared" si="30"/>
        <v>#DIV/0!</v>
      </c>
      <c r="F74" s="16" t="e">
        <f t="shared" si="31"/>
        <v>#DIV/0!</v>
      </c>
      <c r="G74" s="16" t="e">
        <f t="shared" si="32"/>
        <v>#DIV/0!</v>
      </c>
      <c r="H74" s="16" t="e">
        <f t="shared" si="33"/>
        <v>#DIV/0!</v>
      </c>
      <c r="I74" s="16" t="e">
        <f t="shared" si="34"/>
        <v>#DIV/0!</v>
      </c>
      <c r="J74" s="16" t="e">
        <f t="shared" si="34"/>
        <v>#DIV/0!</v>
      </c>
      <c r="K74" s="16" t="e">
        <f t="shared" si="48"/>
        <v>#DIV/0!</v>
      </c>
      <c r="L74" s="16" t="e">
        <f t="shared" si="49"/>
        <v>#DIV/0!</v>
      </c>
      <c r="M74" s="104"/>
      <c r="N74" s="104"/>
      <c r="O74" s="47" t="e">
        <f t="shared" si="35"/>
        <v>#DIV/0!</v>
      </c>
      <c r="P74" s="17" t="e">
        <f t="shared" si="36"/>
        <v>#DIV/0!</v>
      </c>
      <c r="Q74" s="62" t="e">
        <f t="shared" si="37"/>
        <v>#DIV/0!</v>
      </c>
      <c r="R74" s="17" t="e">
        <f t="shared" si="38"/>
        <v>#DIV/0!</v>
      </c>
      <c r="S74" s="45"/>
      <c r="T74" s="48"/>
      <c r="U74" s="48"/>
      <c r="V74" s="18">
        <f t="shared" si="39"/>
        <v>0</v>
      </c>
      <c r="W74" s="56" t="e">
        <f>IF(#REF!&gt;DATE(2010,9,30),ROUNDUP(ABS( V74/U74 ),3),ROUNDUP(ABS( (T74-T75)/T75 ),3))</f>
        <v>#REF!</v>
      </c>
      <c r="X74" s="49" t="e">
        <f t="shared" si="40"/>
        <v>#REF!</v>
      </c>
      <c r="Y74" s="49" t="e">
        <f t="shared" si="41"/>
        <v>#REF!</v>
      </c>
      <c r="Z74" s="49" t="e">
        <f t="shared" si="42"/>
        <v>#REF!</v>
      </c>
      <c r="AA74" s="49" t="e">
        <f t="shared" si="43"/>
        <v>#REF!</v>
      </c>
      <c r="AB74" s="16" t="e">
        <f>IF(S74&gt;=#REF!,ROUND(MAX(AVERAGE(X74:AA74),AB$1),4),ROUND(MAX(AVERAGE(X74:AA74),AC$1),4))</f>
        <v>#REF!</v>
      </c>
      <c r="AC74" s="46"/>
      <c r="AD74" s="46"/>
      <c r="AE74" s="50" t="e">
        <f t="shared" si="44"/>
        <v>#REF!</v>
      </c>
      <c r="AF74" s="51" t="e">
        <f t="shared" si="45"/>
        <v>#REF!</v>
      </c>
      <c r="AG74" s="62" t="e">
        <f t="shared" si="46"/>
        <v>#REF!</v>
      </c>
      <c r="AH74" s="17" t="e">
        <f t="shared" si="47"/>
        <v>#REF!</v>
      </c>
    </row>
    <row r="75" spans="1:34">
      <c r="A75" s="112"/>
      <c r="B75" s="113"/>
      <c r="C75" s="113"/>
      <c r="D75" s="114">
        <f t="shared" si="29"/>
        <v>0</v>
      </c>
      <c r="E75" s="19" t="e">
        <f t="shared" si="30"/>
        <v>#DIV/0!</v>
      </c>
      <c r="F75" s="16" t="e">
        <f t="shared" si="31"/>
        <v>#DIV/0!</v>
      </c>
      <c r="G75" s="16" t="e">
        <f t="shared" si="32"/>
        <v>#DIV/0!</v>
      </c>
      <c r="H75" s="16" t="e">
        <f t="shared" si="33"/>
        <v>#DIV/0!</v>
      </c>
      <c r="I75" s="16" t="e">
        <f t="shared" si="34"/>
        <v>#DIV/0!</v>
      </c>
      <c r="J75" s="16" t="e">
        <f t="shared" si="34"/>
        <v>#DIV/0!</v>
      </c>
      <c r="K75" s="16" t="e">
        <f t="shared" si="48"/>
        <v>#DIV/0!</v>
      </c>
      <c r="L75" s="16" t="e">
        <f t="shared" si="49"/>
        <v>#DIV/0!</v>
      </c>
      <c r="M75" s="104"/>
      <c r="N75" s="104"/>
      <c r="O75" s="47" t="e">
        <f t="shared" si="35"/>
        <v>#DIV/0!</v>
      </c>
      <c r="P75" s="17" t="e">
        <f t="shared" si="36"/>
        <v>#DIV/0!</v>
      </c>
      <c r="Q75" s="62" t="e">
        <f t="shared" si="37"/>
        <v>#DIV/0!</v>
      </c>
      <c r="R75" s="17" t="e">
        <f t="shared" si="38"/>
        <v>#DIV/0!</v>
      </c>
      <c r="S75" s="45"/>
      <c r="T75" s="48"/>
      <c r="U75" s="48"/>
      <c r="V75" s="18">
        <f t="shared" si="39"/>
        <v>0</v>
      </c>
      <c r="W75" s="56" t="e">
        <f>IF(#REF!&gt;DATE(2010,9,30),ROUNDUP(ABS( V75/U75 ),3),ROUNDUP(ABS( (T75-T76)/T76 ),3))</f>
        <v>#REF!</v>
      </c>
      <c r="X75" s="49" t="e">
        <f t="shared" si="40"/>
        <v>#REF!</v>
      </c>
      <c r="Y75" s="49" t="e">
        <f t="shared" si="41"/>
        <v>#REF!</v>
      </c>
      <c r="Z75" s="49" t="e">
        <f t="shared" si="42"/>
        <v>#REF!</v>
      </c>
      <c r="AA75" s="49" t="e">
        <f t="shared" si="43"/>
        <v>#REF!</v>
      </c>
      <c r="AB75" s="16" t="e">
        <f>IF(S75&gt;=#REF!,ROUND(MAX(AVERAGE(X75:AA75),AB$1),4),ROUND(MAX(AVERAGE(X75:AA75),AC$1),4))</f>
        <v>#REF!</v>
      </c>
      <c r="AC75" s="46"/>
      <c r="AD75" s="46"/>
      <c r="AE75" s="50" t="e">
        <f t="shared" si="44"/>
        <v>#REF!</v>
      </c>
      <c r="AF75" s="51" t="e">
        <f t="shared" si="45"/>
        <v>#REF!</v>
      </c>
      <c r="AG75" s="62" t="e">
        <f t="shared" si="46"/>
        <v>#REF!</v>
      </c>
      <c r="AH75" s="17" t="e">
        <f t="shared" si="47"/>
        <v>#REF!</v>
      </c>
    </row>
    <row r="76" spans="1:34">
      <c r="A76" s="112"/>
      <c r="B76" s="113"/>
      <c r="C76" s="113"/>
      <c r="D76" s="114">
        <f t="shared" si="29"/>
        <v>0</v>
      </c>
      <c r="E76" s="19" t="e">
        <f t="shared" si="30"/>
        <v>#DIV/0!</v>
      </c>
      <c r="F76" s="16" t="e">
        <f t="shared" si="31"/>
        <v>#DIV/0!</v>
      </c>
      <c r="G76" s="16" t="e">
        <f t="shared" si="32"/>
        <v>#DIV/0!</v>
      </c>
      <c r="H76" s="16" t="e">
        <f t="shared" si="33"/>
        <v>#DIV/0!</v>
      </c>
      <c r="I76" s="16" t="e">
        <f t="shared" si="34"/>
        <v>#DIV/0!</v>
      </c>
      <c r="J76" s="16" t="e">
        <f t="shared" si="34"/>
        <v>#DIV/0!</v>
      </c>
      <c r="K76" s="16" t="e">
        <f t="shared" si="48"/>
        <v>#DIV/0!</v>
      </c>
      <c r="L76" s="16" t="e">
        <f t="shared" si="49"/>
        <v>#DIV/0!</v>
      </c>
      <c r="M76" s="104"/>
      <c r="N76" s="104"/>
      <c r="O76" s="47" t="e">
        <f t="shared" si="35"/>
        <v>#DIV/0!</v>
      </c>
      <c r="P76" s="17" t="e">
        <f t="shared" si="36"/>
        <v>#DIV/0!</v>
      </c>
      <c r="Q76" s="62" t="e">
        <f t="shared" si="37"/>
        <v>#DIV/0!</v>
      </c>
      <c r="R76" s="17" t="e">
        <f t="shared" si="38"/>
        <v>#DIV/0!</v>
      </c>
      <c r="S76" s="45"/>
      <c r="T76" s="48"/>
      <c r="U76" s="48"/>
      <c r="V76" s="18">
        <f t="shared" si="39"/>
        <v>0</v>
      </c>
      <c r="W76" s="56" t="e">
        <f>IF(#REF!&gt;DATE(2010,9,30),ROUNDUP(ABS( V76/U76 ),3),ROUNDUP(ABS( (T76-T77)/T77 ),3))</f>
        <v>#REF!</v>
      </c>
      <c r="X76" s="49" t="e">
        <f t="shared" si="40"/>
        <v>#REF!</v>
      </c>
      <c r="Y76" s="49" t="e">
        <f t="shared" si="41"/>
        <v>#REF!</v>
      </c>
      <c r="Z76" s="49" t="e">
        <f t="shared" si="42"/>
        <v>#REF!</v>
      </c>
      <c r="AA76" s="49" t="e">
        <f t="shared" si="43"/>
        <v>#REF!</v>
      </c>
      <c r="AB76" s="16" t="e">
        <f>IF(S76&gt;=#REF!,ROUND(MAX(AVERAGE(X76:AA76),AB$1),4),ROUND(MAX(AVERAGE(X76:AA76),AC$1),4))</f>
        <v>#REF!</v>
      </c>
      <c r="AC76" s="46"/>
      <c r="AD76" s="46"/>
      <c r="AE76" s="50" t="e">
        <f t="shared" si="44"/>
        <v>#REF!</v>
      </c>
      <c r="AF76" s="51" t="e">
        <f t="shared" si="45"/>
        <v>#REF!</v>
      </c>
      <c r="AG76" s="62" t="e">
        <f t="shared" si="46"/>
        <v>#REF!</v>
      </c>
      <c r="AH76" s="17" t="e">
        <f t="shared" si="47"/>
        <v>#REF!</v>
      </c>
    </row>
    <row r="77" spans="1:34">
      <c r="A77" s="112"/>
      <c r="B77" s="113"/>
      <c r="C77" s="113"/>
      <c r="D77" s="114">
        <f t="shared" si="29"/>
        <v>0</v>
      </c>
      <c r="E77" s="19" t="e">
        <f t="shared" si="30"/>
        <v>#DIV/0!</v>
      </c>
      <c r="F77" s="16" t="e">
        <f t="shared" si="31"/>
        <v>#DIV/0!</v>
      </c>
      <c r="G77" s="16" t="e">
        <f t="shared" si="32"/>
        <v>#DIV/0!</v>
      </c>
      <c r="H77" s="16" t="e">
        <f t="shared" si="33"/>
        <v>#DIV/0!</v>
      </c>
      <c r="I77" s="16" t="e">
        <f t="shared" si="34"/>
        <v>#DIV/0!</v>
      </c>
      <c r="J77" s="16" t="e">
        <f t="shared" si="34"/>
        <v>#DIV/0!</v>
      </c>
      <c r="K77" s="16" t="e">
        <f t="shared" si="48"/>
        <v>#DIV/0!</v>
      </c>
      <c r="L77" s="16" t="e">
        <f t="shared" si="49"/>
        <v>#DIV/0!</v>
      </c>
      <c r="M77" s="104"/>
      <c r="N77" s="104"/>
      <c r="O77" s="47" t="e">
        <f t="shared" si="35"/>
        <v>#DIV/0!</v>
      </c>
      <c r="P77" s="17" t="e">
        <f t="shared" si="36"/>
        <v>#DIV/0!</v>
      </c>
      <c r="Q77" s="62" t="e">
        <f t="shared" si="37"/>
        <v>#DIV/0!</v>
      </c>
      <c r="R77" s="17" t="e">
        <f t="shared" si="38"/>
        <v>#DIV/0!</v>
      </c>
      <c r="S77" s="45"/>
      <c r="T77" s="48"/>
      <c r="U77" s="48"/>
      <c r="V77" s="18">
        <f t="shared" si="39"/>
        <v>0</v>
      </c>
      <c r="W77" s="56" t="e">
        <f>IF(#REF!&gt;DATE(2010,9,30),ROUNDUP(ABS( V77/U77 ),3),ROUNDUP(ABS( (T77-T78)/T78 ),3))</f>
        <v>#REF!</v>
      </c>
      <c r="X77" s="49" t="e">
        <f t="shared" si="40"/>
        <v>#REF!</v>
      </c>
      <c r="Y77" s="49" t="e">
        <f t="shared" si="41"/>
        <v>#REF!</v>
      </c>
      <c r="Z77" s="49" t="e">
        <f t="shared" si="42"/>
        <v>#REF!</v>
      </c>
      <c r="AA77" s="49" t="e">
        <f t="shared" si="43"/>
        <v>#REF!</v>
      </c>
      <c r="AB77" s="16" t="e">
        <f>IF(S77&gt;=#REF!,ROUND(MAX(AVERAGE(X77:AA77),AB$1),4),ROUND(MAX(AVERAGE(X77:AA77),AC$1),4))</f>
        <v>#REF!</v>
      </c>
      <c r="AC77" s="46"/>
      <c r="AD77" s="46"/>
      <c r="AE77" s="50" t="e">
        <f t="shared" si="44"/>
        <v>#REF!</v>
      </c>
      <c r="AF77" s="51" t="e">
        <f t="shared" si="45"/>
        <v>#REF!</v>
      </c>
      <c r="AG77" s="62" t="e">
        <f t="shared" si="46"/>
        <v>#REF!</v>
      </c>
      <c r="AH77" s="17" t="e">
        <f t="shared" si="47"/>
        <v>#REF!</v>
      </c>
    </row>
    <row r="78" spans="1:34" s="29" customFormat="1">
      <c r="A78" s="112"/>
      <c r="B78" s="113"/>
      <c r="C78" s="113"/>
      <c r="D78" s="114">
        <f t="shared" si="29"/>
        <v>0</v>
      </c>
      <c r="E78" s="19" t="e">
        <f t="shared" si="30"/>
        <v>#DIV/0!</v>
      </c>
      <c r="F78" s="16" t="e">
        <f t="shared" si="31"/>
        <v>#DIV/0!</v>
      </c>
      <c r="G78" s="16" t="e">
        <f t="shared" si="32"/>
        <v>#DIV/0!</v>
      </c>
      <c r="H78" s="16" t="e">
        <f t="shared" si="33"/>
        <v>#DIV/0!</v>
      </c>
      <c r="I78" s="16" t="e">
        <f t="shared" si="34"/>
        <v>#DIV/0!</v>
      </c>
      <c r="J78" s="16" t="e">
        <f t="shared" si="34"/>
        <v>#DIV/0!</v>
      </c>
      <c r="K78" s="16" t="e">
        <f t="shared" si="48"/>
        <v>#DIV/0!</v>
      </c>
      <c r="L78" s="16" t="e">
        <f t="shared" si="49"/>
        <v>#DIV/0!</v>
      </c>
      <c r="M78" s="104"/>
      <c r="N78" s="104"/>
      <c r="O78" s="47" t="e">
        <f t="shared" si="35"/>
        <v>#DIV/0!</v>
      </c>
      <c r="P78" s="17" t="e">
        <f t="shared" si="36"/>
        <v>#DIV/0!</v>
      </c>
      <c r="Q78" s="62" t="e">
        <f t="shared" si="37"/>
        <v>#DIV/0!</v>
      </c>
      <c r="R78" s="17" t="e">
        <f t="shared" si="38"/>
        <v>#DIV/0!</v>
      </c>
      <c r="S78" s="45"/>
      <c r="T78" s="48"/>
      <c r="U78" s="48"/>
      <c r="V78" s="18">
        <f t="shared" si="39"/>
        <v>0</v>
      </c>
      <c r="W78" s="56" t="e">
        <f>IF(#REF!&gt;DATE(2010,9,30),ROUNDUP(ABS( V78/U78 ),3),ROUNDUP(ABS( (T78-T79)/T79 ),3))</f>
        <v>#REF!</v>
      </c>
      <c r="X78" s="49" t="e">
        <f t="shared" si="40"/>
        <v>#REF!</v>
      </c>
      <c r="Y78" s="49" t="e">
        <f t="shared" si="41"/>
        <v>#REF!</v>
      </c>
      <c r="Z78" s="49" t="e">
        <f t="shared" si="42"/>
        <v>#REF!</v>
      </c>
      <c r="AA78" s="49" t="e">
        <f t="shared" si="43"/>
        <v>#REF!</v>
      </c>
      <c r="AB78" s="16" t="e">
        <f>IF(S78&gt;=#REF!,ROUND(MAX(AVERAGE(X78:AA78),AB$1),4),ROUND(MAX(AVERAGE(X78:AA78),AC$1),4))</f>
        <v>#REF!</v>
      </c>
      <c r="AC78" s="46"/>
      <c r="AD78" s="46"/>
      <c r="AE78" s="50" t="e">
        <f t="shared" si="44"/>
        <v>#REF!</v>
      </c>
      <c r="AF78" s="51" t="e">
        <f t="shared" si="45"/>
        <v>#REF!</v>
      </c>
      <c r="AG78" s="62" t="e">
        <f t="shared" si="46"/>
        <v>#REF!</v>
      </c>
      <c r="AH78" s="17" t="e">
        <f t="shared" si="47"/>
        <v>#REF!</v>
      </c>
    </row>
    <row r="79" spans="1:34">
      <c r="A79" s="112"/>
      <c r="B79" s="113"/>
      <c r="C79" s="113"/>
      <c r="D79" s="114">
        <f t="shared" si="29"/>
        <v>0</v>
      </c>
      <c r="E79" s="19" t="e">
        <f t="shared" si="30"/>
        <v>#DIV/0!</v>
      </c>
      <c r="F79" s="16"/>
      <c r="G79" s="16"/>
      <c r="H79" s="16"/>
      <c r="I79" s="16"/>
      <c r="J79" s="16"/>
      <c r="K79" s="16" t="e">
        <f t="shared" si="48"/>
        <v>#DIV/0!</v>
      </c>
      <c r="L79" s="16"/>
      <c r="M79" s="104"/>
      <c r="N79" s="104"/>
      <c r="O79" s="47"/>
      <c r="P79" s="17"/>
      <c r="Q79" s="62"/>
      <c r="R79" s="17"/>
      <c r="S79" s="45"/>
      <c r="T79" s="48"/>
      <c r="U79" s="48"/>
      <c r="V79" s="18">
        <f t="shared" si="39"/>
        <v>0</v>
      </c>
      <c r="W79" s="56" t="e">
        <f>IF(#REF!&gt;DATE(2010,9,30),ROUNDUP(ABS( V79/U79 ),3),ROUNDUP(ABS( (T79-T80)/T80 ),3))</f>
        <v>#REF!</v>
      </c>
      <c r="X79" s="49"/>
      <c r="Y79" s="49"/>
      <c r="Z79" s="49"/>
      <c r="AA79" s="49"/>
      <c r="AB79" s="16"/>
      <c r="AC79" s="46"/>
      <c r="AD79" s="46"/>
      <c r="AE79" s="50"/>
      <c r="AF79" s="51"/>
      <c r="AG79" s="62"/>
      <c r="AH79" s="17"/>
    </row>
    <row r="80" spans="1:34">
      <c r="A80" s="112"/>
      <c r="B80" s="113"/>
      <c r="C80" s="113"/>
      <c r="D80" s="114">
        <f t="shared" si="29"/>
        <v>0</v>
      </c>
      <c r="E80" s="19" t="e">
        <f t="shared" si="30"/>
        <v>#DIV/0!</v>
      </c>
      <c r="F80" s="16"/>
      <c r="G80" s="16"/>
      <c r="H80" s="16"/>
      <c r="I80" s="16"/>
      <c r="J80" s="16"/>
      <c r="K80" s="16" t="e">
        <f t="shared" si="48"/>
        <v>#DIV/0!</v>
      </c>
      <c r="L80" s="16"/>
      <c r="M80" s="104"/>
      <c r="N80" s="104"/>
      <c r="O80" s="47"/>
      <c r="P80" s="17"/>
      <c r="Q80" s="62"/>
      <c r="R80" s="17"/>
      <c r="S80" s="45"/>
      <c r="T80" s="48"/>
      <c r="U80" s="48"/>
      <c r="V80" s="18">
        <f t="shared" si="39"/>
        <v>0</v>
      </c>
      <c r="W80" s="56" t="e">
        <f>IF(#REF!&gt;DATE(2010,9,30),ROUNDUP(ABS( V80/U80 ),3),ROUNDUP(ABS( (T80-T81)/T81 ),3))</f>
        <v>#REF!</v>
      </c>
      <c r="X80" s="49"/>
      <c r="Y80" s="49"/>
      <c r="Z80" s="49"/>
      <c r="AA80" s="49"/>
      <c r="AB80" s="16"/>
      <c r="AC80" s="46"/>
      <c r="AD80" s="46"/>
      <c r="AE80" s="50"/>
      <c r="AF80" s="51"/>
      <c r="AG80" s="62"/>
      <c r="AH80" s="17"/>
    </row>
    <row r="81" spans="1:34">
      <c r="A81" s="112"/>
      <c r="B81" s="113"/>
      <c r="C81" s="113"/>
      <c r="D81" s="114">
        <f t="shared" si="29"/>
        <v>0</v>
      </c>
      <c r="E81" s="19" t="e">
        <f t="shared" si="30"/>
        <v>#DIV/0!</v>
      </c>
      <c r="F81" s="16"/>
      <c r="G81" s="16"/>
      <c r="H81" s="16"/>
      <c r="I81" s="16"/>
      <c r="J81" s="16"/>
      <c r="K81" s="16" t="e">
        <f t="shared" si="48"/>
        <v>#DIV/0!</v>
      </c>
      <c r="L81" s="16"/>
      <c r="M81" s="104"/>
      <c r="N81" s="104"/>
      <c r="O81" s="47"/>
      <c r="P81" s="17"/>
      <c r="Q81" s="62"/>
      <c r="R81" s="17"/>
      <c r="S81" s="45"/>
      <c r="T81" s="48"/>
      <c r="U81" s="48"/>
      <c r="V81" s="18">
        <f t="shared" si="39"/>
        <v>0</v>
      </c>
      <c r="W81" s="56" t="e">
        <f>IF(#REF!&gt;DATE(2010,9,30),ROUNDUP(ABS( V81/U81 ),3),ROUNDUP(ABS( (T81-T82)/T82 ),3))</f>
        <v>#REF!</v>
      </c>
      <c r="X81" s="49"/>
      <c r="Y81" s="49"/>
      <c r="Z81" s="49"/>
      <c r="AA81" s="49"/>
      <c r="AB81" s="16"/>
      <c r="AC81" s="46"/>
      <c r="AD81" s="46"/>
      <c r="AE81" s="50"/>
      <c r="AF81" s="51"/>
      <c r="AG81" s="62"/>
      <c r="AH81" s="17"/>
    </row>
    <row r="82" spans="1:34">
      <c r="A82" s="112"/>
      <c r="B82" s="113"/>
      <c r="C82" s="113"/>
      <c r="D82" s="114">
        <f t="shared" si="29"/>
        <v>0</v>
      </c>
      <c r="E82" s="19" t="e">
        <f t="shared" si="30"/>
        <v>#DIV/0!</v>
      </c>
      <c r="F82" s="16"/>
      <c r="G82" s="16"/>
      <c r="H82" s="16"/>
      <c r="I82" s="16"/>
      <c r="J82" s="16"/>
      <c r="K82" s="16" t="e">
        <f t="shared" si="48"/>
        <v>#DIV/0!</v>
      </c>
      <c r="L82" s="16"/>
      <c r="M82" s="104"/>
      <c r="N82" s="104"/>
      <c r="O82" s="47"/>
      <c r="P82" s="17"/>
      <c r="Q82" s="62"/>
      <c r="R82" s="17"/>
      <c r="S82" s="45"/>
      <c r="T82" s="48"/>
      <c r="U82" s="48"/>
      <c r="V82" s="18">
        <f t="shared" si="39"/>
        <v>0</v>
      </c>
      <c r="W82" s="56" t="e">
        <f>IF(#REF!&gt;DATE(2010,9,30),ROUNDUP(ABS( V82/U82 ),3),ROUNDUP(ABS( (T82-T83)/T83 ),3))</f>
        <v>#REF!</v>
      </c>
      <c r="X82" s="49"/>
      <c r="Y82" s="49"/>
      <c r="Z82" s="49"/>
      <c r="AA82" s="49"/>
      <c r="AB82" s="16"/>
      <c r="AC82" s="46"/>
      <c r="AD82" s="46"/>
      <c r="AE82" s="50"/>
      <c r="AF82" s="51"/>
      <c r="AG82" s="62"/>
      <c r="AH82" s="17"/>
    </row>
    <row r="83" spans="1:34">
      <c r="A83" s="112"/>
      <c r="B83" s="113"/>
      <c r="C83" s="113"/>
      <c r="D83" s="114">
        <f t="shared" si="29"/>
        <v>0</v>
      </c>
      <c r="E83" s="19" t="e">
        <f t="shared" si="30"/>
        <v>#DIV/0!</v>
      </c>
      <c r="F83" s="16"/>
      <c r="G83" s="16"/>
      <c r="H83" s="16"/>
      <c r="I83" s="16"/>
      <c r="J83" s="16"/>
      <c r="K83" s="16" t="e">
        <f t="shared" si="48"/>
        <v>#DIV/0!</v>
      </c>
      <c r="L83" s="16"/>
      <c r="M83" s="104"/>
      <c r="N83" s="104"/>
      <c r="O83" s="47"/>
      <c r="P83" s="17"/>
      <c r="Q83" s="62"/>
      <c r="R83" s="17"/>
      <c r="S83" s="45"/>
      <c r="T83" s="48"/>
      <c r="U83" s="48"/>
      <c r="V83" s="18">
        <f t="shared" si="39"/>
        <v>0</v>
      </c>
      <c r="W83" s="56" t="e">
        <f>IF(#REF!&gt;DATE(2010,9,30),ROUNDUP(ABS( V83/U83 ),3),ROUNDUP(ABS( (T83-T84)/T84 ),3))</f>
        <v>#REF!</v>
      </c>
      <c r="X83" s="49"/>
      <c r="Y83" s="49"/>
      <c r="Z83" s="49"/>
      <c r="AA83" s="49"/>
      <c r="AB83" s="16"/>
      <c r="AC83" s="46"/>
      <c r="AD83" s="46"/>
      <c r="AE83" s="50"/>
      <c r="AF83" s="51"/>
      <c r="AG83" s="62"/>
      <c r="AH83" s="17"/>
    </row>
    <row r="84" spans="1:34">
      <c r="A84" s="112"/>
      <c r="B84" s="113"/>
      <c r="C84" s="113"/>
      <c r="D84" s="114">
        <f t="shared" si="29"/>
        <v>0</v>
      </c>
      <c r="E84" s="19" t="e">
        <f t="shared" si="30"/>
        <v>#DIV/0!</v>
      </c>
      <c r="F84" s="16"/>
      <c r="G84" s="16"/>
      <c r="H84" s="16"/>
      <c r="I84" s="16"/>
      <c r="J84" s="16"/>
      <c r="K84" s="16" t="e">
        <f t="shared" si="48"/>
        <v>#DIV/0!</v>
      </c>
      <c r="L84" s="16"/>
      <c r="M84" s="104"/>
      <c r="N84" s="104"/>
      <c r="O84" s="47"/>
      <c r="P84" s="17"/>
      <c r="Q84" s="62"/>
      <c r="R84" s="17"/>
      <c r="S84" s="45"/>
      <c r="T84" s="48"/>
      <c r="U84" s="48"/>
      <c r="V84" s="18">
        <f t="shared" si="39"/>
        <v>0</v>
      </c>
      <c r="W84" s="56" t="e">
        <f>IF(#REF!&gt;DATE(2010,9,30),ROUNDUP(ABS( V84/U84 ),3),ROUNDUP(ABS( (T84-T85)/T85 ),3))</f>
        <v>#REF!</v>
      </c>
      <c r="X84" s="49"/>
      <c r="Y84" s="49"/>
      <c r="Z84" s="49"/>
      <c r="AA84" s="49"/>
      <c r="AB84" s="16"/>
      <c r="AC84" s="46"/>
      <c r="AD84" s="46"/>
      <c r="AE84" s="50"/>
      <c r="AF84" s="51"/>
      <c r="AG84" s="62"/>
      <c r="AH84" s="17"/>
    </row>
    <row r="85" spans="1:34">
      <c r="A85" s="112"/>
      <c r="B85" s="113"/>
      <c r="C85" s="113"/>
      <c r="D85" s="114">
        <f t="shared" si="29"/>
        <v>0</v>
      </c>
      <c r="E85" s="19" t="e">
        <f t="shared" si="30"/>
        <v>#DIV/0!</v>
      </c>
      <c r="F85" s="16"/>
      <c r="G85" s="16"/>
      <c r="H85" s="16"/>
      <c r="I85" s="16"/>
      <c r="J85" s="16"/>
      <c r="K85" s="16" t="e">
        <f t="shared" si="48"/>
        <v>#DIV/0!</v>
      </c>
      <c r="L85" s="16"/>
      <c r="M85" s="104"/>
      <c r="N85" s="104"/>
      <c r="O85" s="47"/>
      <c r="P85" s="17"/>
      <c r="Q85" s="62"/>
      <c r="R85" s="17"/>
      <c r="S85" s="45"/>
      <c r="T85" s="48"/>
      <c r="U85" s="48"/>
      <c r="V85" s="18">
        <f t="shared" si="39"/>
        <v>0</v>
      </c>
      <c r="W85" s="56" t="e">
        <f>IF(#REF!&gt;DATE(2010,9,30),ROUNDUP(ABS( V85/U85 ),3),ROUNDUP(ABS( (T85-T86)/T86 ),3))</f>
        <v>#REF!</v>
      </c>
      <c r="X85" s="49"/>
      <c r="Y85" s="49"/>
      <c r="Z85" s="49"/>
      <c r="AA85" s="49"/>
      <c r="AB85" s="16"/>
      <c r="AC85" s="46"/>
      <c r="AD85" s="46"/>
      <c r="AE85" s="50"/>
      <c r="AF85" s="51"/>
      <c r="AG85" s="62"/>
      <c r="AH85" s="17"/>
    </row>
    <row r="86" spans="1:34">
      <c r="A86" s="112"/>
      <c r="B86" s="113"/>
      <c r="C86" s="113"/>
      <c r="D86" s="114">
        <f t="shared" si="29"/>
        <v>0</v>
      </c>
      <c r="E86" s="19" t="e">
        <f t="shared" si="30"/>
        <v>#DIV/0!</v>
      </c>
      <c r="F86" s="16"/>
      <c r="G86" s="16"/>
      <c r="H86" s="16"/>
      <c r="I86" s="16"/>
      <c r="J86" s="16"/>
      <c r="K86" s="16" t="e">
        <f t="shared" si="48"/>
        <v>#DIV/0!</v>
      </c>
      <c r="L86" s="16"/>
      <c r="M86" s="104"/>
      <c r="N86" s="104"/>
      <c r="O86" s="47"/>
      <c r="P86" s="17"/>
      <c r="Q86" s="62"/>
      <c r="R86" s="17"/>
      <c r="S86" s="45"/>
      <c r="T86" s="48"/>
      <c r="U86" s="48"/>
      <c r="V86" s="18">
        <f t="shared" si="39"/>
        <v>0</v>
      </c>
      <c r="W86" s="56" t="e">
        <f>IF(#REF!&gt;DATE(2010,9,30),ROUNDUP(ABS( V86/U86 ),3),ROUNDUP(ABS( (T86-T87)/T87 ),3))</f>
        <v>#REF!</v>
      </c>
      <c r="X86" s="49"/>
      <c r="Y86" s="49"/>
      <c r="Z86" s="49"/>
      <c r="AA86" s="49"/>
      <c r="AB86" s="16"/>
      <c r="AC86" s="46"/>
      <c r="AD86" s="46"/>
      <c r="AE86" s="50"/>
      <c r="AF86" s="51"/>
      <c r="AG86" s="62"/>
      <c r="AH86" s="17"/>
    </row>
    <row r="87" spans="1:34">
      <c r="A87" s="112"/>
      <c r="B87" s="113"/>
      <c r="C87" s="113"/>
      <c r="D87" s="114">
        <f t="shared" si="29"/>
        <v>0</v>
      </c>
      <c r="E87" s="19" t="e">
        <f t="shared" si="30"/>
        <v>#DIV/0!</v>
      </c>
      <c r="F87" s="16"/>
      <c r="G87" s="16"/>
      <c r="H87" s="16"/>
      <c r="I87" s="16"/>
      <c r="J87" s="16"/>
      <c r="K87" s="16" t="e">
        <f t="shared" si="48"/>
        <v>#DIV/0!</v>
      </c>
      <c r="L87" s="16"/>
      <c r="M87" s="104"/>
      <c r="N87" s="104"/>
      <c r="O87" s="47"/>
      <c r="P87" s="17"/>
      <c r="Q87" s="62"/>
      <c r="R87" s="17"/>
      <c r="S87" s="45"/>
      <c r="T87" s="48"/>
      <c r="U87" s="48"/>
      <c r="V87" s="18">
        <f t="shared" si="39"/>
        <v>0</v>
      </c>
      <c r="W87" s="56" t="e">
        <f>IF(#REF!&gt;DATE(2010,9,30),ROUNDUP(ABS( V87/U87 ),3),ROUNDUP(ABS( (T87-T88)/T88 ),3))</f>
        <v>#REF!</v>
      </c>
      <c r="X87" s="49"/>
      <c r="Y87" s="49"/>
      <c r="Z87" s="49"/>
      <c r="AA87" s="49"/>
      <c r="AB87" s="16"/>
      <c r="AC87" s="46"/>
      <c r="AD87" s="46"/>
      <c r="AE87" s="50"/>
      <c r="AF87" s="51"/>
      <c r="AG87" s="62"/>
      <c r="AH87" s="17"/>
    </row>
    <row r="88" spans="1:34">
      <c r="A88" s="112"/>
      <c r="B88" s="113"/>
      <c r="C88" s="113"/>
      <c r="D88" s="114">
        <f t="shared" si="29"/>
        <v>0</v>
      </c>
      <c r="E88" s="19" t="e">
        <f t="shared" si="30"/>
        <v>#DIV/0!</v>
      </c>
      <c r="F88" s="16"/>
      <c r="G88" s="16"/>
      <c r="H88" s="16"/>
      <c r="I88" s="16"/>
      <c r="J88" s="16"/>
      <c r="K88" s="16" t="e">
        <f t="shared" si="48"/>
        <v>#DIV/0!</v>
      </c>
      <c r="L88" s="16"/>
      <c r="M88" s="104"/>
      <c r="N88" s="104"/>
      <c r="O88" s="47"/>
      <c r="P88" s="17"/>
      <c r="Q88" s="62"/>
      <c r="R88" s="17"/>
      <c r="S88" s="45"/>
      <c r="T88" s="48"/>
      <c r="U88" s="48"/>
      <c r="V88" s="18">
        <f t="shared" si="39"/>
        <v>0</v>
      </c>
      <c r="W88" s="56" t="e">
        <f>IF(#REF!&gt;DATE(2010,9,30),ROUNDUP(ABS( V88/U88 ),3),ROUNDUP(ABS( (T88-T89)/T89 ),3))</f>
        <v>#REF!</v>
      </c>
      <c r="X88" s="49"/>
      <c r="Y88" s="49"/>
      <c r="Z88" s="49"/>
      <c r="AA88" s="49"/>
      <c r="AB88" s="16"/>
      <c r="AC88" s="46"/>
      <c r="AD88" s="46"/>
      <c r="AE88" s="50"/>
      <c r="AF88" s="51"/>
      <c r="AG88" s="62"/>
      <c r="AH88" s="17"/>
    </row>
    <row r="89" spans="1:34">
      <c r="A89" s="112"/>
      <c r="B89" s="113"/>
      <c r="C89" s="113"/>
      <c r="D89" s="114">
        <f t="shared" si="29"/>
        <v>0</v>
      </c>
      <c r="E89" s="19" t="e">
        <f t="shared" si="30"/>
        <v>#DIV/0!</v>
      </c>
      <c r="F89" s="16"/>
      <c r="G89" s="16"/>
      <c r="H89" s="16"/>
      <c r="I89" s="16"/>
      <c r="J89" s="16"/>
      <c r="K89" s="16" t="e">
        <f t="shared" si="48"/>
        <v>#DIV/0!</v>
      </c>
      <c r="L89" s="16"/>
      <c r="M89" s="104"/>
      <c r="N89" s="104"/>
      <c r="O89" s="47"/>
      <c r="P89" s="17"/>
      <c r="Q89" s="62"/>
      <c r="R89" s="17"/>
      <c r="S89" s="45"/>
      <c r="T89" s="48"/>
      <c r="U89" s="48"/>
      <c r="V89" s="18">
        <f t="shared" si="39"/>
        <v>0</v>
      </c>
      <c r="W89" s="56" t="e">
        <f>IF(#REF!&gt;DATE(2010,9,30),ROUNDUP(ABS( V89/U89 ),3),ROUNDUP(ABS( (T89-T90)/T90 ),3))</f>
        <v>#REF!</v>
      </c>
      <c r="X89" s="49"/>
      <c r="Y89" s="49"/>
      <c r="Z89" s="49"/>
      <c r="AA89" s="49"/>
      <c r="AB89" s="16"/>
      <c r="AC89" s="46"/>
      <c r="AD89" s="46"/>
      <c r="AE89" s="50"/>
      <c r="AF89" s="51"/>
      <c r="AG89" s="62"/>
      <c r="AH89" s="17"/>
    </row>
    <row r="90" spans="1:34">
      <c r="A90" s="112"/>
      <c r="B90" s="113"/>
      <c r="C90" s="113"/>
      <c r="D90" s="114">
        <f t="shared" si="29"/>
        <v>0</v>
      </c>
      <c r="E90" s="19" t="e">
        <f t="shared" si="30"/>
        <v>#DIV/0!</v>
      </c>
      <c r="F90" s="16"/>
      <c r="G90" s="16"/>
      <c r="H90" s="16"/>
      <c r="I90" s="16"/>
      <c r="J90" s="16"/>
      <c r="K90" s="16" t="e">
        <f t="shared" si="48"/>
        <v>#DIV/0!</v>
      </c>
      <c r="L90" s="16"/>
      <c r="M90" s="104"/>
      <c r="N90" s="104"/>
      <c r="O90" s="47"/>
      <c r="P90" s="17"/>
      <c r="Q90" s="62"/>
      <c r="R90" s="17"/>
      <c r="S90" s="45"/>
      <c r="T90" s="48"/>
      <c r="U90" s="48"/>
      <c r="V90" s="18">
        <f t="shared" si="39"/>
        <v>0</v>
      </c>
      <c r="W90" s="56" t="e">
        <f>IF(#REF!&gt;DATE(2010,9,30),ROUNDUP(ABS( V90/U90 ),3),ROUNDUP(ABS( (T90-T91)/T91 ),3))</f>
        <v>#REF!</v>
      </c>
      <c r="X90" s="49"/>
      <c r="Y90" s="49"/>
      <c r="Z90" s="49"/>
      <c r="AA90" s="49"/>
      <c r="AB90" s="16"/>
      <c r="AC90" s="46"/>
      <c r="AD90" s="46"/>
      <c r="AE90" s="50"/>
      <c r="AF90" s="51"/>
      <c r="AG90" s="62"/>
      <c r="AH90" s="17"/>
    </row>
    <row r="91" spans="1:34">
      <c r="A91" s="112"/>
      <c r="B91" s="113"/>
      <c r="C91" s="113"/>
      <c r="D91" s="114">
        <f t="shared" si="29"/>
        <v>0</v>
      </c>
      <c r="E91" s="19" t="e">
        <f t="shared" si="30"/>
        <v>#DIV/0!</v>
      </c>
      <c r="F91" s="16"/>
      <c r="G91" s="16"/>
      <c r="H91" s="16"/>
      <c r="I91" s="16"/>
      <c r="J91" s="16"/>
      <c r="K91" s="16" t="e">
        <f t="shared" si="48"/>
        <v>#DIV/0!</v>
      </c>
      <c r="L91" s="16"/>
      <c r="M91" s="104"/>
      <c r="N91" s="104"/>
      <c r="O91" s="47"/>
      <c r="P91" s="17"/>
      <c r="Q91" s="62"/>
      <c r="R91" s="17"/>
      <c r="S91" s="45"/>
      <c r="T91" s="48"/>
      <c r="U91" s="48"/>
      <c r="V91" s="18">
        <f t="shared" si="39"/>
        <v>0</v>
      </c>
      <c r="W91" s="56" t="e">
        <f>IF(#REF!&gt;DATE(2010,9,30),ROUNDUP(ABS( V91/U91 ),3),ROUNDUP(ABS( (T91-T92)/T92 ),3))</f>
        <v>#REF!</v>
      </c>
      <c r="X91" s="49"/>
      <c r="Y91" s="49"/>
      <c r="Z91" s="49"/>
      <c r="AA91" s="49"/>
      <c r="AB91" s="16"/>
      <c r="AC91" s="46"/>
      <c r="AD91" s="46"/>
      <c r="AE91" s="50"/>
      <c r="AF91" s="51"/>
      <c r="AG91" s="62"/>
      <c r="AH91" s="17"/>
    </row>
    <row r="92" spans="1:34">
      <c r="A92" s="112"/>
      <c r="B92" s="113"/>
      <c r="C92" s="113"/>
      <c r="D92" s="114">
        <f t="shared" si="29"/>
        <v>0</v>
      </c>
      <c r="E92" s="19" t="e">
        <f t="shared" si="30"/>
        <v>#DIV/0!</v>
      </c>
      <c r="F92" s="16"/>
      <c r="G92" s="16"/>
      <c r="H92" s="16"/>
      <c r="I92" s="16"/>
      <c r="J92" s="16"/>
      <c r="K92" s="16" t="e">
        <f t="shared" si="48"/>
        <v>#DIV/0!</v>
      </c>
      <c r="L92" s="16"/>
      <c r="M92" s="104"/>
      <c r="N92" s="104"/>
      <c r="O92" s="47"/>
      <c r="P92" s="17"/>
      <c r="Q92" s="62"/>
      <c r="R92" s="17"/>
      <c r="S92" s="45"/>
      <c r="T92" s="48"/>
      <c r="U92" s="48"/>
      <c r="V92" s="18">
        <f t="shared" si="39"/>
        <v>0</v>
      </c>
      <c r="W92" s="56" t="e">
        <f>IF(#REF!&gt;DATE(2010,9,30),ROUNDUP(ABS( V92/U92 ),3),ROUNDUP(ABS( (T92-T93)/T93 ),3))</f>
        <v>#REF!</v>
      </c>
      <c r="X92" s="49"/>
      <c r="Y92" s="49"/>
      <c r="Z92" s="49"/>
      <c r="AA92" s="49"/>
      <c r="AB92" s="16"/>
      <c r="AC92" s="46"/>
      <c r="AD92" s="46"/>
      <c r="AE92" s="50"/>
      <c r="AF92" s="51"/>
      <c r="AG92" s="62"/>
      <c r="AH92" s="17"/>
    </row>
    <row r="93" spans="1:34">
      <c r="A93" s="112"/>
      <c r="B93" s="113"/>
      <c r="C93" s="113"/>
      <c r="D93" s="114">
        <f t="shared" si="29"/>
        <v>0</v>
      </c>
      <c r="E93" s="19" t="e">
        <f t="shared" si="30"/>
        <v>#DIV/0!</v>
      </c>
      <c r="F93" s="16"/>
      <c r="G93" s="16"/>
      <c r="H93" s="16"/>
      <c r="I93" s="16"/>
      <c r="J93" s="16"/>
      <c r="K93" s="16" t="e">
        <f t="shared" si="48"/>
        <v>#DIV/0!</v>
      </c>
      <c r="L93" s="16"/>
      <c r="M93" s="104"/>
      <c r="N93" s="104"/>
      <c r="O93" s="47"/>
      <c r="P93" s="17"/>
      <c r="Q93" s="62"/>
      <c r="R93" s="17"/>
      <c r="S93" s="45"/>
      <c r="T93" s="48"/>
      <c r="U93" s="48"/>
      <c r="V93" s="18">
        <f t="shared" si="39"/>
        <v>0</v>
      </c>
      <c r="W93" s="56" t="e">
        <f>IF(#REF!&gt;DATE(2010,9,30),ROUNDUP(ABS( V93/U93 ),3),ROUNDUP(ABS( (T93-T94)/T94 ),3))</f>
        <v>#REF!</v>
      </c>
      <c r="X93" s="49"/>
      <c r="Y93" s="49"/>
      <c r="Z93" s="49"/>
      <c r="AA93" s="49"/>
      <c r="AB93" s="16"/>
      <c r="AC93" s="46"/>
      <c r="AD93" s="46"/>
      <c r="AE93" s="50"/>
      <c r="AF93" s="51"/>
      <c r="AG93" s="62"/>
      <c r="AH93" s="17"/>
    </row>
    <row r="94" spans="1:34">
      <c r="A94" s="112"/>
      <c r="B94" s="113"/>
      <c r="C94" s="113"/>
      <c r="D94" s="114">
        <f t="shared" si="29"/>
        <v>0</v>
      </c>
      <c r="E94" s="19" t="e">
        <f t="shared" si="30"/>
        <v>#DIV/0!</v>
      </c>
      <c r="F94" s="16"/>
      <c r="G94" s="16"/>
      <c r="H94" s="16"/>
      <c r="I94" s="16"/>
      <c r="J94" s="16"/>
      <c r="K94" s="16" t="e">
        <f t="shared" si="48"/>
        <v>#DIV/0!</v>
      </c>
      <c r="L94" s="16"/>
      <c r="M94" s="104"/>
      <c r="N94" s="104"/>
      <c r="O94" s="47"/>
      <c r="P94" s="17"/>
      <c r="Q94" s="62"/>
      <c r="R94" s="17"/>
      <c r="S94" s="45"/>
      <c r="T94" s="48"/>
      <c r="U94" s="48"/>
      <c r="V94" s="18">
        <f t="shared" si="39"/>
        <v>0</v>
      </c>
      <c r="W94" s="56" t="e">
        <f>IF(#REF!&gt;DATE(2010,9,30),ROUNDUP(ABS( V94/U94 ),3),ROUNDUP(ABS( (T94-T95)/T95 ),3))</f>
        <v>#REF!</v>
      </c>
      <c r="X94" s="49"/>
      <c r="Y94" s="49"/>
      <c r="Z94" s="49"/>
      <c r="AA94" s="49"/>
      <c r="AB94" s="16"/>
      <c r="AC94" s="46"/>
      <c r="AD94" s="46"/>
      <c r="AE94" s="50"/>
      <c r="AF94" s="51"/>
      <c r="AG94" s="62"/>
      <c r="AH94" s="17"/>
    </row>
    <row r="95" spans="1:34">
      <c r="A95" s="112"/>
      <c r="B95" s="113"/>
      <c r="C95" s="113"/>
      <c r="D95" s="114">
        <f t="shared" si="29"/>
        <v>0</v>
      </c>
      <c r="E95" s="19" t="e">
        <f t="shared" si="30"/>
        <v>#DIV/0!</v>
      </c>
      <c r="F95" s="16"/>
      <c r="G95" s="16"/>
      <c r="H95" s="16"/>
      <c r="I95" s="16"/>
      <c r="J95" s="16"/>
      <c r="K95" s="16" t="e">
        <f t="shared" si="48"/>
        <v>#DIV/0!</v>
      </c>
      <c r="L95" s="16"/>
      <c r="M95" s="104"/>
      <c r="N95" s="104"/>
      <c r="O95" s="47"/>
      <c r="P95" s="17"/>
      <c r="Q95" s="62"/>
      <c r="R95" s="17"/>
      <c r="S95" s="45"/>
      <c r="T95" s="48"/>
      <c r="U95" s="48"/>
      <c r="V95" s="18">
        <f t="shared" si="39"/>
        <v>0</v>
      </c>
      <c r="W95" s="56" t="e">
        <f>IF(#REF!&gt;DATE(2010,9,30),ROUNDUP(ABS( V95/U95 ),3),ROUNDUP(ABS( (T95-T96)/T96 ),3))</f>
        <v>#REF!</v>
      </c>
      <c r="X95" s="49"/>
      <c r="Y95" s="49"/>
      <c r="Z95" s="49"/>
      <c r="AA95" s="49"/>
      <c r="AB95" s="16"/>
      <c r="AC95" s="46"/>
      <c r="AD95" s="46"/>
      <c r="AE95" s="50"/>
      <c r="AF95" s="51"/>
      <c r="AG95" s="62"/>
      <c r="AH95" s="17"/>
    </row>
    <row r="96" spans="1:34">
      <c r="A96" s="112"/>
      <c r="B96" s="113"/>
      <c r="C96" s="113"/>
      <c r="D96" s="114">
        <f t="shared" si="29"/>
        <v>0</v>
      </c>
      <c r="E96" s="19" t="e">
        <f t="shared" si="30"/>
        <v>#DIV/0!</v>
      </c>
      <c r="F96" s="16"/>
      <c r="G96" s="16"/>
      <c r="H96" s="16"/>
      <c r="I96" s="16"/>
      <c r="J96" s="16"/>
      <c r="K96" s="16" t="e">
        <f t="shared" si="48"/>
        <v>#DIV/0!</v>
      </c>
      <c r="L96" s="16"/>
      <c r="M96" s="104"/>
      <c r="N96" s="104"/>
      <c r="O96" s="47"/>
      <c r="P96" s="17"/>
      <c r="Q96" s="62"/>
      <c r="R96" s="17"/>
      <c r="S96" s="45"/>
      <c r="T96" s="48"/>
      <c r="U96" s="48"/>
      <c r="V96" s="18">
        <f t="shared" si="39"/>
        <v>0</v>
      </c>
      <c r="W96" s="56" t="e">
        <f>IF(#REF!&gt;DATE(2010,9,30),ROUNDUP(ABS( V96/U96 ),3),ROUNDUP(ABS( (T96-T97)/T97 ),3))</f>
        <v>#REF!</v>
      </c>
      <c r="X96" s="49"/>
      <c r="Y96" s="49"/>
      <c r="Z96" s="49"/>
      <c r="AA96" s="49"/>
      <c r="AB96" s="16"/>
      <c r="AC96" s="46"/>
      <c r="AD96" s="46"/>
      <c r="AE96" s="50"/>
      <c r="AF96" s="51"/>
      <c r="AG96" s="62"/>
      <c r="AH96" s="17"/>
    </row>
    <row r="97" spans="1:34">
      <c r="A97" s="112"/>
      <c r="B97" s="113"/>
      <c r="C97" s="113"/>
      <c r="D97" s="114">
        <f t="shared" si="29"/>
        <v>0</v>
      </c>
      <c r="E97" s="19" t="e">
        <f t="shared" si="30"/>
        <v>#DIV/0!</v>
      </c>
      <c r="F97" s="16"/>
      <c r="G97" s="16"/>
      <c r="H97" s="16"/>
      <c r="I97" s="16"/>
      <c r="J97" s="16"/>
      <c r="K97" s="16" t="e">
        <f t="shared" si="48"/>
        <v>#DIV/0!</v>
      </c>
      <c r="L97" s="16"/>
      <c r="M97" s="104"/>
      <c r="N97" s="104"/>
      <c r="O97" s="47"/>
      <c r="P97" s="17"/>
      <c r="Q97" s="62"/>
      <c r="R97" s="17"/>
      <c r="S97" s="45"/>
      <c r="T97" s="48"/>
      <c r="U97" s="48"/>
      <c r="V97" s="18">
        <f t="shared" si="39"/>
        <v>0</v>
      </c>
      <c r="W97" s="56" t="e">
        <f>IF(#REF!&gt;DATE(2010,9,30),ROUNDUP(ABS( V97/U97 ),3),ROUNDUP(ABS( (T97-T98)/T98 ),3))</f>
        <v>#REF!</v>
      </c>
      <c r="X97" s="49"/>
      <c r="Y97" s="49"/>
      <c r="Z97" s="49"/>
      <c r="AA97" s="49"/>
      <c r="AB97" s="16"/>
      <c r="AC97" s="46"/>
      <c r="AD97" s="46"/>
      <c r="AE97" s="50"/>
      <c r="AF97" s="51"/>
      <c r="AG97" s="62"/>
      <c r="AH97" s="17"/>
    </row>
    <row r="98" spans="1:34">
      <c r="A98" s="112"/>
      <c r="B98" s="113"/>
      <c r="C98" s="113"/>
      <c r="D98" s="114">
        <f t="shared" si="29"/>
        <v>0</v>
      </c>
      <c r="E98" s="19" t="e">
        <f t="shared" si="30"/>
        <v>#DIV/0!</v>
      </c>
      <c r="F98" s="16"/>
      <c r="G98" s="16"/>
      <c r="H98" s="16"/>
      <c r="I98" s="16"/>
      <c r="J98" s="16"/>
      <c r="K98" s="16" t="e">
        <f t="shared" si="48"/>
        <v>#DIV/0!</v>
      </c>
      <c r="L98" s="16"/>
      <c r="M98" s="104"/>
      <c r="N98" s="104"/>
      <c r="O98" s="47"/>
      <c r="P98" s="17"/>
      <c r="Q98" s="62"/>
      <c r="R98" s="17"/>
      <c r="S98" s="45"/>
      <c r="T98" s="48"/>
      <c r="U98" s="48"/>
      <c r="V98" s="18">
        <f t="shared" si="39"/>
        <v>0</v>
      </c>
      <c r="W98" s="56" t="e">
        <f>IF(#REF!&gt;DATE(2010,9,30),ROUNDUP(ABS( V98/U98 ),3),ROUNDUP(ABS( (T98-T99)/T99 ),3))</f>
        <v>#REF!</v>
      </c>
      <c r="X98" s="49"/>
      <c r="Y98" s="49"/>
      <c r="Z98" s="49"/>
      <c r="AA98" s="49"/>
      <c r="AB98" s="16"/>
      <c r="AC98" s="46"/>
      <c r="AD98" s="46"/>
      <c r="AE98" s="50"/>
      <c r="AF98" s="51"/>
      <c r="AG98" s="62"/>
      <c r="AH98" s="17"/>
    </row>
    <row r="99" spans="1:34">
      <c r="A99" s="112"/>
      <c r="B99" s="113"/>
      <c r="C99" s="113"/>
      <c r="D99" s="114">
        <f t="shared" si="29"/>
        <v>0</v>
      </c>
      <c r="E99" s="19" t="e">
        <f t="shared" si="30"/>
        <v>#DIV/0!</v>
      </c>
      <c r="F99" s="16"/>
      <c r="G99" s="16"/>
      <c r="H99" s="16"/>
      <c r="I99" s="16"/>
      <c r="J99" s="16"/>
      <c r="K99" s="16" t="e">
        <f t="shared" si="48"/>
        <v>#DIV/0!</v>
      </c>
      <c r="L99" s="16"/>
      <c r="M99" s="104"/>
      <c r="N99" s="104"/>
      <c r="O99" s="47"/>
      <c r="P99" s="17"/>
      <c r="Q99" s="62"/>
      <c r="R99" s="17"/>
      <c r="S99" s="45"/>
      <c r="T99" s="48"/>
      <c r="U99" s="48"/>
      <c r="V99" s="18">
        <f t="shared" si="39"/>
        <v>0</v>
      </c>
      <c r="W99" s="56" t="e">
        <f>IF(#REF!&gt;DATE(2010,9,30),ROUNDUP(ABS( V99/U99 ),3),ROUNDUP(ABS( (T99-T100)/T100 ),3))</f>
        <v>#REF!</v>
      </c>
      <c r="X99" s="49"/>
      <c r="Y99" s="49"/>
      <c r="Z99" s="49"/>
      <c r="AA99" s="49"/>
      <c r="AB99" s="16"/>
      <c r="AC99" s="46"/>
      <c r="AD99" s="46"/>
      <c r="AE99" s="50"/>
      <c r="AF99" s="51"/>
      <c r="AG99" s="62"/>
      <c r="AH99" s="17"/>
    </row>
    <row r="100" spans="1:34">
      <c r="A100" s="112"/>
      <c r="B100" s="113"/>
      <c r="C100" s="113"/>
      <c r="D100" s="114">
        <f t="shared" si="29"/>
        <v>0</v>
      </c>
      <c r="E100" s="19" t="e">
        <f t="shared" si="30"/>
        <v>#DIV/0!</v>
      </c>
      <c r="F100" s="16"/>
      <c r="G100" s="16"/>
      <c r="H100" s="16"/>
      <c r="I100" s="16"/>
      <c r="J100" s="16"/>
      <c r="K100" s="16" t="e">
        <f t="shared" si="48"/>
        <v>#DIV/0!</v>
      </c>
      <c r="L100" s="16"/>
      <c r="M100" s="104"/>
      <c r="N100" s="104"/>
      <c r="O100" s="47"/>
      <c r="P100" s="17"/>
      <c r="Q100" s="62"/>
      <c r="R100" s="17"/>
      <c r="S100" s="45"/>
      <c r="T100" s="48"/>
      <c r="U100" s="48"/>
      <c r="V100" s="18">
        <f t="shared" si="39"/>
        <v>0</v>
      </c>
      <c r="W100" s="56" t="e">
        <f>IF(#REF!&gt;DATE(2010,9,30),ROUNDUP(ABS( V100/U100 ),3),ROUNDUP(ABS( (T100-T101)/T101 ),3))</f>
        <v>#REF!</v>
      </c>
      <c r="X100" s="49"/>
      <c r="Y100" s="49"/>
      <c r="Z100" s="49"/>
      <c r="AA100" s="49"/>
      <c r="AB100" s="16"/>
      <c r="AC100" s="46"/>
      <c r="AD100" s="46"/>
      <c r="AE100" s="50"/>
      <c r="AF100" s="51"/>
      <c r="AG100" s="62"/>
      <c r="AH100" s="17"/>
    </row>
    <row r="101" spans="1:34">
      <c r="A101" s="112"/>
      <c r="B101" s="113"/>
      <c r="C101" s="113"/>
      <c r="D101" s="114">
        <f t="shared" si="29"/>
        <v>0</v>
      </c>
      <c r="E101" s="19" t="e">
        <f t="shared" si="30"/>
        <v>#DIV/0!</v>
      </c>
      <c r="F101" s="16"/>
      <c r="G101" s="16"/>
      <c r="H101" s="16"/>
      <c r="I101" s="16"/>
      <c r="J101" s="16"/>
      <c r="K101" s="16" t="e">
        <f t="shared" si="48"/>
        <v>#DIV/0!</v>
      </c>
      <c r="L101" s="16"/>
      <c r="M101" s="104"/>
      <c r="N101" s="104"/>
      <c r="O101" s="47"/>
      <c r="P101" s="17"/>
      <c r="Q101" s="62"/>
      <c r="R101" s="17"/>
      <c r="S101" s="45"/>
      <c r="T101" s="48"/>
      <c r="U101" s="48"/>
      <c r="V101" s="18">
        <f t="shared" si="39"/>
        <v>0</v>
      </c>
      <c r="W101" s="56" t="e">
        <f>IF(#REF!&gt;DATE(2010,9,30),ROUNDUP(ABS( V101/U101 ),3),ROUNDUP(ABS( (T101-T102)/T102 ),3))</f>
        <v>#REF!</v>
      </c>
      <c r="X101" s="49"/>
      <c r="Y101" s="49"/>
      <c r="Z101" s="49"/>
      <c r="AA101" s="49"/>
      <c r="AB101" s="16"/>
      <c r="AC101" s="46"/>
      <c r="AD101" s="46"/>
      <c r="AE101" s="50"/>
      <c r="AF101" s="51"/>
      <c r="AG101" s="62"/>
      <c r="AH101" s="17"/>
    </row>
    <row r="102" spans="1:34">
      <c r="A102" s="112"/>
      <c r="B102" s="113"/>
      <c r="C102" s="113"/>
      <c r="D102" s="114">
        <f t="shared" si="29"/>
        <v>0</v>
      </c>
      <c r="E102" s="19" t="e">
        <f t="shared" si="30"/>
        <v>#DIV/0!</v>
      </c>
      <c r="F102" s="16"/>
      <c r="G102" s="16"/>
      <c r="H102" s="16"/>
      <c r="I102" s="16"/>
      <c r="J102" s="16"/>
      <c r="K102" s="16" t="e">
        <f t="shared" si="48"/>
        <v>#DIV/0!</v>
      </c>
      <c r="L102" s="16"/>
      <c r="M102" s="104"/>
      <c r="N102" s="104"/>
      <c r="O102" s="47"/>
      <c r="P102" s="17"/>
      <c r="Q102" s="62"/>
      <c r="R102" s="17"/>
      <c r="S102" s="45"/>
      <c r="T102" s="48"/>
      <c r="U102" s="48"/>
      <c r="V102" s="18">
        <f t="shared" si="39"/>
        <v>0</v>
      </c>
      <c r="W102" s="56" t="e">
        <f>IF(#REF!&gt;DATE(2010,9,30),ROUNDUP(ABS( V102/U102 ),3),ROUNDUP(ABS( (T102-T103)/T103 ),3))</f>
        <v>#REF!</v>
      </c>
      <c r="X102" s="49"/>
      <c r="Y102" s="49"/>
      <c r="Z102" s="49"/>
      <c r="AA102" s="49"/>
      <c r="AB102" s="16"/>
      <c r="AC102" s="46"/>
      <c r="AD102" s="46"/>
      <c r="AE102" s="50"/>
      <c r="AF102" s="51"/>
      <c r="AG102" s="62"/>
      <c r="AH102" s="17"/>
    </row>
    <row r="103" spans="1:34">
      <c r="A103" s="112"/>
      <c r="B103" s="113"/>
      <c r="C103" s="113"/>
      <c r="D103" s="114">
        <f t="shared" si="29"/>
        <v>0</v>
      </c>
      <c r="E103" s="19" t="e">
        <f t="shared" si="30"/>
        <v>#DIV/0!</v>
      </c>
      <c r="F103" s="16"/>
      <c r="G103" s="16"/>
      <c r="H103" s="16"/>
      <c r="I103" s="16"/>
      <c r="J103" s="16"/>
      <c r="K103" s="16" t="e">
        <f t="shared" si="48"/>
        <v>#DIV/0!</v>
      </c>
      <c r="L103" s="16"/>
      <c r="M103" s="104"/>
      <c r="N103" s="104"/>
      <c r="O103" s="47"/>
      <c r="P103" s="17"/>
      <c r="Q103" s="62"/>
      <c r="R103" s="17"/>
      <c r="S103" s="45"/>
      <c r="T103" s="48"/>
      <c r="U103" s="48"/>
      <c r="V103" s="18">
        <f t="shared" si="39"/>
        <v>0</v>
      </c>
      <c r="W103" s="56" t="e">
        <f>IF(#REF!&gt;DATE(2010,9,30),ROUNDUP(ABS( V103/U103 ),3),ROUNDUP(ABS( (T103-T104)/T104 ),3))</f>
        <v>#REF!</v>
      </c>
      <c r="X103" s="49"/>
      <c r="Y103" s="49"/>
      <c r="Z103" s="49"/>
      <c r="AA103" s="49"/>
      <c r="AB103" s="16"/>
      <c r="AC103" s="46"/>
      <c r="AD103" s="46"/>
      <c r="AE103" s="50"/>
      <c r="AF103" s="51"/>
      <c r="AG103" s="62"/>
      <c r="AH103" s="17"/>
    </row>
    <row r="104" spans="1:34">
      <c r="A104" s="112"/>
      <c r="B104" s="113"/>
      <c r="C104" s="113"/>
      <c r="D104" s="114">
        <f t="shared" si="29"/>
        <v>0</v>
      </c>
      <c r="E104" s="19" t="e">
        <f t="shared" si="30"/>
        <v>#DIV/0!</v>
      </c>
      <c r="F104" s="16"/>
      <c r="G104" s="16"/>
      <c r="H104" s="16"/>
      <c r="I104" s="16"/>
      <c r="J104" s="16"/>
      <c r="K104" s="16" t="e">
        <f t="shared" si="48"/>
        <v>#DIV/0!</v>
      </c>
      <c r="L104" s="16"/>
      <c r="M104" s="104"/>
      <c r="N104" s="104"/>
      <c r="O104" s="47"/>
      <c r="P104" s="17"/>
      <c r="Q104" s="62"/>
      <c r="R104" s="17"/>
      <c r="S104" s="45"/>
      <c r="T104" s="48"/>
      <c r="U104" s="48"/>
      <c r="V104" s="18">
        <f t="shared" si="39"/>
        <v>0</v>
      </c>
      <c r="W104" s="56" t="e">
        <f>IF(#REF!&gt;DATE(2010,9,30),ROUNDUP(ABS( V104/U104 ),3),ROUNDUP(ABS( (T104-T105)/T105 ),3))</f>
        <v>#REF!</v>
      </c>
      <c r="X104" s="49"/>
      <c r="Y104" s="49"/>
      <c r="Z104" s="49"/>
      <c r="AA104" s="49"/>
      <c r="AB104" s="16"/>
      <c r="AC104" s="46"/>
      <c r="AD104" s="46"/>
      <c r="AE104" s="50"/>
      <c r="AF104" s="51"/>
      <c r="AG104" s="62"/>
      <c r="AH104" s="17"/>
    </row>
    <row r="105" spans="1:34">
      <c r="A105" s="112"/>
      <c r="B105" s="113"/>
      <c r="C105" s="113"/>
      <c r="D105" s="114">
        <f t="shared" si="29"/>
        <v>0</v>
      </c>
      <c r="E105" s="19" t="e">
        <f t="shared" si="30"/>
        <v>#DIV/0!</v>
      </c>
      <c r="F105" s="16"/>
      <c r="G105" s="16"/>
      <c r="H105" s="16"/>
      <c r="I105" s="16"/>
      <c r="J105" s="16"/>
      <c r="K105" s="16" t="e">
        <f t="shared" si="48"/>
        <v>#DIV/0!</v>
      </c>
      <c r="L105" s="16"/>
      <c r="M105" s="104"/>
      <c r="N105" s="104"/>
      <c r="O105" s="47"/>
      <c r="P105" s="17"/>
      <c r="Q105" s="62"/>
      <c r="R105" s="17"/>
      <c r="S105" s="45"/>
      <c r="T105" s="48"/>
      <c r="U105" s="48"/>
      <c r="V105" s="18">
        <f t="shared" si="39"/>
        <v>0</v>
      </c>
      <c r="W105" s="56" t="e">
        <f>IF(#REF!&gt;DATE(2010,9,30),ROUNDUP(ABS( V105/U105 ),3),ROUNDUP(ABS( (T105-T106)/T106 ),3))</f>
        <v>#REF!</v>
      </c>
      <c r="X105" s="49"/>
      <c r="Y105" s="49"/>
      <c r="Z105" s="49"/>
      <c r="AA105" s="49"/>
      <c r="AB105" s="16"/>
      <c r="AC105" s="46"/>
      <c r="AD105" s="46"/>
      <c r="AE105" s="50"/>
      <c r="AF105" s="51"/>
      <c r="AG105" s="62"/>
      <c r="AH105" s="17"/>
    </row>
    <row r="106" spans="1:34">
      <c r="A106" s="112"/>
      <c r="B106" s="113"/>
      <c r="C106" s="113"/>
      <c r="D106" s="114">
        <f t="shared" si="29"/>
        <v>0</v>
      </c>
      <c r="E106" s="19" t="e">
        <f t="shared" si="30"/>
        <v>#DIV/0!</v>
      </c>
      <c r="F106" s="16"/>
      <c r="G106" s="16"/>
      <c r="H106" s="16"/>
      <c r="I106" s="16"/>
      <c r="J106" s="16"/>
      <c r="K106" s="16" t="e">
        <f t="shared" si="48"/>
        <v>#DIV/0!</v>
      </c>
      <c r="L106" s="16"/>
      <c r="M106" s="104"/>
      <c r="N106" s="104"/>
      <c r="O106" s="47"/>
      <c r="P106" s="17"/>
      <c r="Q106" s="62"/>
      <c r="R106" s="17"/>
      <c r="S106" s="45"/>
      <c r="T106" s="48"/>
      <c r="U106" s="48"/>
      <c r="V106" s="18">
        <f t="shared" si="39"/>
        <v>0</v>
      </c>
      <c r="W106" s="56" t="e">
        <f>IF(#REF!&gt;DATE(2010,9,30),ROUNDUP(ABS( V106/U106 ),3),ROUNDUP(ABS( (T106-T107)/T107 ),3))</f>
        <v>#REF!</v>
      </c>
      <c r="X106" s="49"/>
      <c r="Y106" s="49"/>
      <c r="Z106" s="49"/>
      <c r="AA106" s="49"/>
      <c r="AB106" s="16"/>
      <c r="AC106" s="46"/>
      <c r="AD106" s="46"/>
      <c r="AE106" s="50"/>
      <c r="AF106" s="51"/>
      <c r="AG106" s="62"/>
      <c r="AH106" s="17"/>
    </row>
    <row r="107" spans="1:34">
      <c r="A107" s="112"/>
      <c r="B107" s="113"/>
      <c r="C107" s="113"/>
      <c r="D107" s="114">
        <f t="shared" si="29"/>
        <v>0</v>
      </c>
      <c r="E107" s="19" t="e">
        <f t="shared" si="30"/>
        <v>#DIV/0!</v>
      </c>
      <c r="F107" s="16"/>
      <c r="G107" s="16"/>
      <c r="H107" s="16"/>
      <c r="I107" s="16"/>
      <c r="J107" s="16"/>
      <c r="K107" s="16" t="e">
        <f t="shared" si="48"/>
        <v>#DIV/0!</v>
      </c>
      <c r="L107" s="16"/>
      <c r="M107" s="104"/>
      <c r="N107" s="104"/>
      <c r="O107" s="47"/>
      <c r="P107" s="17"/>
      <c r="Q107" s="62"/>
      <c r="R107" s="17"/>
      <c r="S107" s="45"/>
      <c r="T107" s="48"/>
      <c r="U107" s="48"/>
      <c r="V107" s="18">
        <f t="shared" si="39"/>
        <v>0</v>
      </c>
      <c r="W107" s="56" t="e">
        <f>IF(#REF!&gt;DATE(2010,9,30),ROUNDUP(ABS( V107/U107 ),3),ROUNDUP(ABS( (T107-T108)/T108 ),3))</f>
        <v>#REF!</v>
      </c>
      <c r="X107" s="49"/>
      <c r="Y107" s="49"/>
      <c r="Z107" s="49"/>
      <c r="AA107" s="49"/>
      <c r="AB107" s="16"/>
      <c r="AC107" s="46"/>
      <c r="AD107" s="46"/>
      <c r="AE107" s="50"/>
      <c r="AF107" s="51"/>
      <c r="AG107" s="62"/>
      <c r="AH107" s="17"/>
    </row>
    <row r="108" spans="1:34">
      <c r="A108" s="112"/>
      <c r="B108" s="113"/>
      <c r="C108" s="113"/>
      <c r="D108" s="114">
        <f t="shared" si="29"/>
        <v>0</v>
      </c>
      <c r="E108" s="19" t="e">
        <f t="shared" si="30"/>
        <v>#DIV/0!</v>
      </c>
      <c r="F108" s="16"/>
      <c r="G108" s="16"/>
      <c r="H108" s="16"/>
      <c r="I108" s="16"/>
      <c r="J108" s="16"/>
      <c r="K108" s="16" t="e">
        <f t="shared" si="48"/>
        <v>#DIV/0!</v>
      </c>
      <c r="L108" s="16"/>
      <c r="M108" s="104"/>
      <c r="N108" s="104"/>
      <c r="O108" s="47"/>
      <c r="P108" s="17"/>
      <c r="Q108" s="62"/>
      <c r="R108" s="17"/>
      <c r="S108" s="45"/>
      <c r="T108" s="48"/>
      <c r="U108" s="48"/>
      <c r="V108" s="18">
        <f t="shared" si="39"/>
        <v>0</v>
      </c>
      <c r="W108" s="56" t="e">
        <f>IF(#REF!&gt;DATE(2010,9,30),ROUNDUP(ABS( V108/U108 ),3),ROUNDUP(ABS( (T108-T109)/T109 ),3))</f>
        <v>#REF!</v>
      </c>
      <c r="X108" s="49"/>
      <c r="Y108" s="49"/>
      <c r="Z108" s="49"/>
      <c r="AA108" s="49"/>
      <c r="AB108" s="16"/>
      <c r="AC108" s="46"/>
      <c r="AD108" s="46"/>
      <c r="AE108" s="50"/>
      <c r="AF108" s="51"/>
      <c r="AG108" s="62"/>
      <c r="AH108" s="17"/>
    </row>
    <row r="109" spans="1:34">
      <c r="A109" s="112"/>
      <c r="B109" s="113"/>
      <c r="C109" s="113"/>
      <c r="D109" s="114">
        <f t="shared" si="29"/>
        <v>0</v>
      </c>
      <c r="E109" s="19" t="e">
        <f t="shared" si="30"/>
        <v>#DIV/0!</v>
      </c>
      <c r="F109" s="16"/>
      <c r="G109" s="16"/>
      <c r="H109" s="16"/>
      <c r="I109" s="16"/>
      <c r="J109" s="16"/>
      <c r="K109" s="16" t="e">
        <f t="shared" si="48"/>
        <v>#DIV/0!</v>
      </c>
      <c r="L109" s="16"/>
      <c r="M109" s="104"/>
      <c r="N109" s="104"/>
      <c r="O109" s="47"/>
      <c r="P109" s="17"/>
      <c r="Q109" s="62"/>
      <c r="R109" s="17"/>
      <c r="S109" s="45"/>
      <c r="T109" s="48"/>
      <c r="U109" s="48"/>
      <c r="V109" s="18">
        <f t="shared" si="39"/>
        <v>0</v>
      </c>
      <c r="W109" s="56" t="e">
        <f>IF(#REF!&gt;DATE(2010,9,30),ROUNDUP(ABS( V109/U109 ),3),ROUNDUP(ABS( (T109-T110)/T110 ),3))</f>
        <v>#REF!</v>
      </c>
      <c r="X109" s="49"/>
      <c r="Y109" s="49"/>
      <c r="Z109" s="49"/>
      <c r="AA109" s="49"/>
      <c r="AB109" s="16"/>
      <c r="AC109" s="46"/>
      <c r="AD109" s="46"/>
      <c r="AE109" s="50"/>
      <c r="AF109" s="51"/>
      <c r="AG109" s="62"/>
      <c r="AH109" s="17"/>
    </row>
    <row r="110" spans="1:34">
      <c r="A110" s="112"/>
      <c r="B110" s="113"/>
      <c r="C110" s="113"/>
      <c r="D110" s="114">
        <f t="shared" si="29"/>
        <v>0</v>
      </c>
      <c r="E110" s="19" t="e">
        <f t="shared" si="30"/>
        <v>#DIV/0!</v>
      </c>
      <c r="F110" s="16"/>
      <c r="G110" s="16"/>
      <c r="H110" s="16"/>
      <c r="I110" s="16"/>
      <c r="J110" s="16"/>
      <c r="K110" s="16" t="e">
        <f t="shared" si="48"/>
        <v>#DIV/0!</v>
      </c>
      <c r="L110" s="16"/>
      <c r="M110" s="104"/>
      <c r="N110" s="104"/>
      <c r="O110" s="47"/>
      <c r="P110" s="17"/>
      <c r="Q110" s="62"/>
      <c r="R110" s="17"/>
      <c r="S110" s="45"/>
      <c r="T110" s="48"/>
      <c r="U110" s="48"/>
      <c r="V110" s="18">
        <f t="shared" si="39"/>
        <v>0</v>
      </c>
      <c r="W110" s="56" t="e">
        <f>IF(#REF!&gt;DATE(2010,9,30),ROUNDUP(ABS( V110/U110 ),3),ROUNDUP(ABS( (T110-T111)/T111 ),3))</f>
        <v>#REF!</v>
      </c>
      <c r="X110" s="49"/>
      <c r="Y110" s="49"/>
      <c r="Z110" s="49"/>
      <c r="AA110" s="49"/>
      <c r="AB110" s="16"/>
      <c r="AC110" s="46"/>
      <c r="AD110" s="46"/>
      <c r="AE110" s="50"/>
      <c r="AF110" s="51"/>
      <c r="AG110" s="62"/>
      <c r="AH110" s="17"/>
    </row>
    <row r="111" spans="1:34">
      <c r="A111" s="112"/>
      <c r="B111" s="113"/>
      <c r="C111" s="113"/>
      <c r="D111" s="114">
        <f t="shared" si="29"/>
        <v>0</v>
      </c>
      <c r="E111" s="19" t="e">
        <f t="shared" si="30"/>
        <v>#DIV/0!</v>
      </c>
      <c r="F111" s="16"/>
      <c r="G111" s="16"/>
      <c r="H111" s="16"/>
      <c r="I111" s="16"/>
      <c r="J111" s="16"/>
      <c r="K111" s="16" t="e">
        <f t="shared" si="48"/>
        <v>#DIV/0!</v>
      </c>
      <c r="L111" s="16"/>
      <c r="M111" s="104"/>
      <c r="N111" s="104"/>
      <c r="O111" s="47"/>
      <c r="P111" s="17"/>
      <c r="Q111" s="62"/>
      <c r="R111" s="17"/>
      <c r="S111" s="45"/>
      <c r="T111" s="48"/>
      <c r="U111" s="48"/>
      <c r="V111" s="18">
        <f t="shared" si="39"/>
        <v>0</v>
      </c>
      <c r="W111" s="56" t="e">
        <f>IF(#REF!&gt;DATE(2010,9,30),ROUNDUP(ABS( V111/U111 ),3),ROUNDUP(ABS( (T111-T112)/T112 ),3))</f>
        <v>#REF!</v>
      </c>
      <c r="X111" s="49"/>
      <c r="Y111" s="49"/>
      <c r="Z111" s="49"/>
      <c r="AA111" s="49"/>
      <c r="AB111" s="16"/>
      <c r="AC111" s="46"/>
      <c r="AD111" s="46"/>
      <c r="AE111" s="50"/>
      <c r="AF111" s="51"/>
      <c r="AG111" s="62"/>
      <c r="AH111" s="17"/>
    </row>
    <row r="112" spans="1:34">
      <c r="A112" s="112"/>
      <c r="B112" s="113"/>
      <c r="C112" s="113"/>
      <c r="D112" s="114">
        <f t="shared" si="29"/>
        <v>0</v>
      </c>
      <c r="E112" s="19" t="e">
        <f t="shared" si="30"/>
        <v>#DIV/0!</v>
      </c>
      <c r="F112" s="16"/>
      <c r="G112" s="16"/>
      <c r="H112" s="16"/>
      <c r="I112" s="16"/>
      <c r="J112" s="16"/>
      <c r="K112" s="16" t="e">
        <f t="shared" si="48"/>
        <v>#DIV/0!</v>
      </c>
      <c r="L112" s="16"/>
      <c r="M112" s="104"/>
      <c r="N112" s="104"/>
      <c r="O112" s="47"/>
      <c r="P112" s="17"/>
      <c r="Q112" s="62"/>
      <c r="R112" s="17"/>
      <c r="S112" s="45"/>
      <c r="T112" s="48"/>
      <c r="U112" s="48"/>
      <c r="V112" s="18">
        <f t="shared" si="39"/>
        <v>0</v>
      </c>
      <c r="W112" s="56" t="e">
        <f>IF(#REF!&gt;DATE(2010,9,30),ROUNDUP(ABS( V112/U112 ),3),ROUNDUP(ABS( (T112-T113)/T113 ),3))</f>
        <v>#REF!</v>
      </c>
      <c r="X112" s="49"/>
      <c r="Y112" s="49"/>
      <c r="Z112" s="49"/>
      <c r="AA112" s="49"/>
      <c r="AB112" s="16"/>
      <c r="AC112" s="46"/>
      <c r="AD112" s="46"/>
      <c r="AE112" s="50"/>
      <c r="AF112" s="51"/>
      <c r="AG112" s="62"/>
      <c r="AH112" s="17"/>
    </row>
    <row r="113" spans="1:34">
      <c r="A113" s="112"/>
      <c r="B113" s="113"/>
      <c r="C113" s="113"/>
      <c r="D113" s="114">
        <f t="shared" si="29"/>
        <v>0</v>
      </c>
      <c r="E113" s="19" t="e">
        <f t="shared" si="30"/>
        <v>#DIV/0!</v>
      </c>
      <c r="F113" s="16"/>
      <c r="G113" s="16"/>
      <c r="H113" s="16"/>
      <c r="I113" s="16"/>
      <c r="J113" s="16"/>
      <c r="K113" s="16" t="e">
        <f t="shared" si="48"/>
        <v>#DIV/0!</v>
      </c>
      <c r="L113" s="16"/>
      <c r="M113" s="104"/>
      <c r="N113" s="104"/>
      <c r="O113" s="47"/>
      <c r="P113" s="17"/>
      <c r="Q113" s="62"/>
      <c r="R113" s="17"/>
      <c r="S113" s="45"/>
      <c r="T113" s="48"/>
      <c r="U113" s="48"/>
      <c r="V113" s="18">
        <f t="shared" si="39"/>
        <v>0</v>
      </c>
      <c r="W113" s="56" t="e">
        <f>IF(#REF!&gt;DATE(2010,9,30),ROUNDUP(ABS( V113/U113 ),3),ROUNDUP(ABS( (T113-T114)/T114 ),3))</f>
        <v>#REF!</v>
      </c>
      <c r="X113" s="49"/>
      <c r="Y113" s="49"/>
      <c r="Z113" s="49"/>
      <c r="AA113" s="49"/>
      <c r="AB113" s="16"/>
      <c r="AC113" s="46"/>
      <c r="AD113" s="46"/>
      <c r="AE113" s="50"/>
      <c r="AF113" s="51"/>
      <c r="AG113" s="62"/>
      <c r="AH113" s="17"/>
    </row>
    <row r="114" spans="1:34">
      <c r="A114" s="112"/>
      <c r="B114" s="113"/>
      <c r="C114" s="113"/>
      <c r="D114" s="114">
        <f t="shared" si="29"/>
        <v>0</v>
      </c>
      <c r="E114" s="19" t="e">
        <f t="shared" si="30"/>
        <v>#DIV/0!</v>
      </c>
      <c r="F114" s="16"/>
      <c r="G114" s="16"/>
      <c r="H114" s="16"/>
      <c r="I114" s="16"/>
      <c r="J114" s="16"/>
      <c r="K114" s="16" t="e">
        <f t="shared" si="48"/>
        <v>#DIV/0!</v>
      </c>
      <c r="L114" s="16"/>
      <c r="M114" s="104"/>
      <c r="N114" s="104"/>
      <c r="O114" s="47"/>
      <c r="P114" s="17"/>
      <c r="Q114" s="62"/>
      <c r="R114" s="17"/>
      <c r="S114" s="45"/>
      <c r="T114" s="48"/>
      <c r="U114" s="48"/>
      <c r="V114" s="18">
        <f t="shared" si="39"/>
        <v>0</v>
      </c>
      <c r="W114" s="56" t="e">
        <f>IF(#REF!&gt;DATE(2010,9,30),ROUNDUP(ABS( V114/U114 ),3),ROUNDUP(ABS( (T114-T115)/T115 ),3))</f>
        <v>#REF!</v>
      </c>
      <c r="X114" s="49"/>
      <c r="Y114" s="49"/>
      <c r="Z114" s="49"/>
      <c r="AA114" s="49"/>
      <c r="AB114" s="16"/>
      <c r="AC114" s="46"/>
      <c r="AD114" s="46"/>
      <c r="AE114" s="50"/>
      <c r="AF114" s="51"/>
      <c r="AG114" s="62"/>
      <c r="AH114" s="17"/>
    </row>
    <row r="115" spans="1:34">
      <c r="A115" s="112"/>
      <c r="B115" s="113"/>
      <c r="C115" s="113"/>
      <c r="D115" s="114">
        <f t="shared" si="29"/>
        <v>0</v>
      </c>
      <c r="E115" s="19" t="e">
        <f t="shared" si="30"/>
        <v>#DIV/0!</v>
      </c>
      <c r="F115" s="16"/>
      <c r="G115" s="16"/>
      <c r="H115" s="16"/>
      <c r="I115" s="16"/>
      <c r="J115" s="16"/>
      <c r="K115" s="16" t="e">
        <f t="shared" si="48"/>
        <v>#DIV/0!</v>
      </c>
      <c r="L115" s="16"/>
      <c r="M115" s="104"/>
      <c r="N115" s="104"/>
      <c r="O115" s="47"/>
      <c r="P115" s="17"/>
      <c r="Q115" s="62"/>
      <c r="R115" s="17"/>
      <c r="S115" s="45"/>
      <c r="T115" s="48"/>
      <c r="U115" s="48"/>
      <c r="V115" s="18">
        <f t="shared" si="39"/>
        <v>0</v>
      </c>
      <c r="W115" s="56" t="e">
        <f>IF(#REF!&gt;DATE(2010,9,30),ROUNDUP(ABS( V115/U115 ),3),ROUNDUP(ABS( (T115-T116)/T116 ),3))</f>
        <v>#REF!</v>
      </c>
      <c r="X115" s="49"/>
      <c r="Y115" s="49"/>
      <c r="Z115" s="49"/>
      <c r="AA115" s="49"/>
      <c r="AB115" s="16"/>
      <c r="AC115" s="46"/>
      <c r="AD115" s="46"/>
      <c r="AE115" s="50"/>
      <c r="AF115" s="51"/>
      <c r="AG115" s="62"/>
      <c r="AH115" s="17"/>
    </row>
    <row r="116" spans="1:34">
      <c r="A116" s="112"/>
      <c r="B116" s="113"/>
      <c r="C116" s="113"/>
      <c r="D116" s="114">
        <f t="shared" si="29"/>
        <v>0</v>
      </c>
      <c r="E116" s="19" t="e">
        <f t="shared" si="30"/>
        <v>#DIV/0!</v>
      </c>
      <c r="F116" s="16"/>
      <c r="G116" s="16"/>
      <c r="H116" s="16"/>
      <c r="I116" s="16"/>
      <c r="J116" s="16"/>
      <c r="K116" s="16" t="e">
        <f t="shared" si="48"/>
        <v>#DIV/0!</v>
      </c>
      <c r="L116" s="16"/>
      <c r="M116" s="104"/>
      <c r="N116" s="104"/>
      <c r="O116" s="47"/>
      <c r="P116" s="17"/>
      <c r="Q116" s="62"/>
      <c r="R116" s="17"/>
      <c r="S116" s="45"/>
      <c r="T116" s="48"/>
      <c r="U116" s="48"/>
      <c r="V116" s="18">
        <f t="shared" si="39"/>
        <v>0</v>
      </c>
      <c r="W116" s="56" t="e">
        <f>IF(#REF!&gt;DATE(2010,9,30),ROUNDUP(ABS( V116/U116 ),3),ROUNDUP(ABS( (T116-T117)/T117 ),3))</f>
        <v>#REF!</v>
      </c>
      <c r="X116" s="49"/>
      <c r="Y116" s="49"/>
      <c r="Z116" s="49"/>
      <c r="AA116" s="49"/>
      <c r="AB116" s="16"/>
      <c r="AC116" s="46"/>
      <c r="AD116" s="46"/>
      <c r="AE116" s="50"/>
      <c r="AF116" s="51"/>
      <c r="AG116" s="62"/>
      <c r="AH116" s="17"/>
    </row>
    <row r="117" spans="1:34">
      <c r="A117" s="112"/>
      <c r="B117" s="113"/>
      <c r="C117" s="113"/>
      <c r="D117" s="114">
        <f t="shared" si="29"/>
        <v>0</v>
      </c>
      <c r="E117" s="19" t="e">
        <f t="shared" si="30"/>
        <v>#DIV/0!</v>
      </c>
      <c r="F117" s="16"/>
      <c r="G117" s="16"/>
      <c r="H117" s="16"/>
      <c r="I117" s="16"/>
      <c r="J117" s="16"/>
      <c r="K117" s="16" t="e">
        <f t="shared" si="48"/>
        <v>#DIV/0!</v>
      </c>
      <c r="L117" s="16"/>
      <c r="M117" s="104"/>
      <c r="N117" s="104"/>
      <c r="O117" s="47"/>
      <c r="P117" s="17"/>
      <c r="Q117" s="62"/>
      <c r="R117" s="17"/>
      <c r="S117" s="45"/>
      <c r="T117" s="48"/>
      <c r="U117" s="48"/>
      <c r="V117" s="18">
        <f t="shared" si="39"/>
        <v>0</v>
      </c>
      <c r="W117" s="56" t="e">
        <f>IF(#REF!&gt;DATE(2010,9,30),ROUNDUP(ABS( V117/U117 ),3),ROUNDUP(ABS( (T117-T118)/T118 ),3))</f>
        <v>#REF!</v>
      </c>
      <c r="X117" s="49"/>
      <c r="Y117" s="49"/>
      <c r="Z117" s="49"/>
      <c r="AA117" s="49"/>
      <c r="AB117" s="16"/>
      <c r="AC117" s="46"/>
      <c r="AD117" s="46"/>
      <c r="AE117" s="50"/>
      <c r="AF117" s="51"/>
      <c r="AG117" s="62"/>
      <c r="AH117" s="17"/>
    </row>
    <row r="118" spans="1:34">
      <c r="A118" s="112"/>
      <c r="B118" s="113"/>
      <c r="C118" s="113"/>
      <c r="D118" s="114">
        <f t="shared" si="29"/>
        <v>0</v>
      </c>
      <c r="E118" s="19" t="e">
        <f t="shared" si="30"/>
        <v>#DIV/0!</v>
      </c>
      <c r="F118" s="16"/>
      <c r="G118" s="16"/>
      <c r="H118" s="16"/>
      <c r="I118" s="16"/>
      <c r="J118" s="16"/>
      <c r="K118" s="16" t="e">
        <f t="shared" si="48"/>
        <v>#DIV/0!</v>
      </c>
      <c r="L118" s="16"/>
      <c r="M118" s="104"/>
      <c r="N118" s="104"/>
      <c r="O118" s="47"/>
      <c r="P118" s="17"/>
      <c r="Q118" s="62"/>
      <c r="R118" s="17"/>
      <c r="S118" s="45"/>
      <c r="T118" s="48"/>
      <c r="U118" s="48"/>
      <c r="V118" s="18">
        <f t="shared" si="39"/>
        <v>0</v>
      </c>
      <c r="W118" s="56" t="e">
        <f>IF(#REF!&gt;DATE(2010,9,30),ROUNDUP(ABS( V118/U118 ),3),ROUNDUP(ABS( (T118-T119)/T119 ),3))</f>
        <v>#REF!</v>
      </c>
      <c r="X118" s="49"/>
      <c r="Y118" s="49"/>
      <c r="Z118" s="49"/>
      <c r="AA118" s="49"/>
      <c r="AB118" s="16"/>
      <c r="AC118" s="46"/>
      <c r="AD118" s="46"/>
      <c r="AE118" s="50"/>
      <c r="AF118" s="51"/>
      <c r="AG118" s="62"/>
      <c r="AH118" s="17"/>
    </row>
    <row r="119" spans="1:34">
      <c r="A119" s="112"/>
      <c r="B119" s="113"/>
      <c r="C119" s="113"/>
      <c r="D119" s="114">
        <f t="shared" si="29"/>
        <v>0</v>
      </c>
      <c r="E119" s="19" t="e">
        <f t="shared" si="30"/>
        <v>#DIV/0!</v>
      </c>
      <c r="F119" s="16"/>
      <c r="G119" s="16"/>
      <c r="H119" s="16"/>
      <c r="I119" s="16"/>
      <c r="J119" s="16"/>
      <c r="K119" s="16" t="e">
        <f t="shared" si="48"/>
        <v>#DIV/0!</v>
      </c>
      <c r="L119" s="16"/>
      <c r="M119" s="104"/>
      <c r="N119" s="104"/>
      <c r="O119" s="47"/>
      <c r="P119" s="17"/>
      <c r="Q119" s="62"/>
      <c r="R119" s="17"/>
      <c r="S119" s="45"/>
      <c r="T119" s="48"/>
      <c r="U119" s="48"/>
      <c r="V119" s="18">
        <f t="shared" si="39"/>
        <v>0</v>
      </c>
      <c r="W119" s="56" t="e">
        <f>IF(#REF!&gt;DATE(2010,9,30),ROUNDUP(ABS( V119/U119 ),3),ROUNDUP(ABS( (T119-T120)/T120 ),3))</f>
        <v>#REF!</v>
      </c>
      <c r="X119" s="49"/>
      <c r="Y119" s="49"/>
      <c r="Z119" s="49"/>
      <c r="AA119" s="49"/>
      <c r="AB119" s="16"/>
      <c r="AC119" s="46"/>
      <c r="AD119" s="46"/>
      <c r="AE119" s="50"/>
      <c r="AF119" s="51"/>
      <c r="AG119" s="62"/>
      <c r="AH119" s="17"/>
    </row>
    <row r="120" spans="1:34">
      <c r="A120" s="112"/>
      <c r="B120" s="113"/>
      <c r="C120" s="113"/>
      <c r="D120" s="114">
        <f t="shared" si="29"/>
        <v>0</v>
      </c>
      <c r="E120" s="19" t="e">
        <f t="shared" si="30"/>
        <v>#DIV/0!</v>
      </c>
      <c r="F120" s="16"/>
      <c r="G120" s="16"/>
      <c r="H120" s="16"/>
      <c r="I120" s="16"/>
      <c r="J120" s="16"/>
      <c r="K120" s="16" t="e">
        <f t="shared" si="48"/>
        <v>#DIV/0!</v>
      </c>
      <c r="L120" s="16"/>
      <c r="M120" s="104"/>
      <c r="N120" s="104"/>
      <c r="O120" s="47"/>
      <c r="P120" s="17"/>
      <c r="Q120" s="62"/>
      <c r="R120" s="17"/>
      <c r="S120" s="45"/>
      <c r="T120" s="48"/>
      <c r="U120" s="48"/>
      <c r="V120" s="18">
        <f t="shared" si="39"/>
        <v>0</v>
      </c>
      <c r="W120" s="56" t="e">
        <f>IF(#REF!&gt;DATE(2010,9,30),ROUNDUP(ABS( V120/U120 ),3),ROUNDUP(ABS( (T120-T121)/T121 ),3))</f>
        <v>#REF!</v>
      </c>
      <c r="X120" s="49"/>
      <c r="Y120" s="49"/>
      <c r="Z120" s="49"/>
      <c r="AA120" s="49"/>
      <c r="AB120" s="16"/>
      <c r="AC120" s="46"/>
      <c r="AD120" s="46"/>
      <c r="AE120" s="50"/>
      <c r="AF120" s="51"/>
      <c r="AG120" s="62"/>
      <c r="AH120" s="17"/>
    </row>
    <row r="121" spans="1:34">
      <c r="A121" s="112"/>
      <c r="B121" s="113"/>
      <c r="C121" s="113"/>
      <c r="D121" s="114">
        <f t="shared" si="29"/>
        <v>0</v>
      </c>
      <c r="E121" s="19" t="e">
        <f t="shared" si="30"/>
        <v>#DIV/0!</v>
      </c>
      <c r="F121" s="16"/>
      <c r="G121" s="16"/>
      <c r="H121" s="16"/>
      <c r="I121" s="16"/>
      <c r="J121" s="16"/>
      <c r="K121" s="16" t="e">
        <f t="shared" si="48"/>
        <v>#DIV/0!</v>
      </c>
      <c r="L121" s="16"/>
      <c r="M121" s="104"/>
      <c r="N121" s="104"/>
      <c r="O121" s="47"/>
      <c r="P121" s="17"/>
      <c r="Q121" s="62"/>
      <c r="R121" s="17"/>
      <c r="S121" s="45"/>
      <c r="T121" s="48"/>
      <c r="U121" s="48"/>
      <c r="V121" s="18">
        <f t="shared" si="39"/>
        <v>0</v>
      </c>
      <c r="W121" s="56" t="e">
        <f>IF(#REF!&gt;DATE(2010,9,30),ROUNDUP(ABS( V121/U121 ),3),ROUNDUP(ABS( (T121-T122)/T122 ),3))</f>
        <v>#REF!</v>
      </c>
      <c r="X121" s="49"/>
      <c r="Y121" s="49"/>
      <c r="Z121" s="49"/>
      <c r="AA121" s="49"/>
      <c r="AB121" s="16"/>
      <c r="AC121" s="46"/>
      <c r="AD121" s="46"/>
      <c r="AE121" s="50"/>
      <c r="AF121" s="51"/>
      <c r="AG121" s="62"/>
      <c r="AH121" s="17"/>
    </row>
    <row r="122" spans="1:34">
      <c r="A122" s="112"/>
      <c r="B122" s="113"/>
      <c r="C122" s="113"/>
      <c r="D122" s="114">
        <f t="shared" si="29"/>
        <v>0</v>
      </c>
      <c r="E122" s="19" t="e">
        <f t="shared" si="30"/>
        <v>#DIV/0!</v>
      </c>
      <c r="F122" s="16"/>
      <c r="G122" s="16"/>
      <c r="H122" s="16"/>
      <c r="I122" s="16"/>
      <c r="J122" s="16"/>
      <c r="K122" s="16" t="e">
        <f t="shared" si="48"/>
        <v>#DIV/0!</v>
      </c>
      <c r="L122" s="16"/>
      <c r="M122" s="104"/>
      <c r="N122" s="104"/>
      <c r="O122" s="47"/>
      <c r="P122" s="17"/>
      <c r="Q122" s="62"/>
      <c r="R122" s="17"/>
      <c r="S122" s="45"/>
      <c r="T122" s="48"/>
      <c r="U122" s="48"/>
      <c r="V122" s="18">
        <f t="shared" si="39"/>
        <v>0</v>
      </c>
      <c r="W122" s="56" t="e">
        <f>IF(#REF!&gt;DATE(2010,9,30),ROUNDUP(ABS( V122/U122 ),3),ROUNDUP(ABS( (T122-T123)/T123 ),3))</f>
        <v>#REF!</v>
      </c>
      <c r="X122" s="49"/>
      <c r="Y122" s="49"/>
      <c r="Z122" s="49"/>
      <c r="AA122" s="49"/>
      <c r="AB122" s="16"/>
      <c r="AC122" s="46"/>
      <c r="AD122" s="46"/>
      <c r="AE122" s="50"/>
      <c r="AF122" s="51"/>
      <c r="AG122" s="62"/>
      <c r="AH122" s="17"/>
    </row>
    <row r="123" spans="1:34">
      <c r="A123" s="112"/>
      <c r="B123" s="113"/>
      <c r="C123" s="113"/>
      <c r="D123" s="114">
        <f t="shared" si="29"/>
        <v>0</v>
      </c>
      <c r="E123" s="19" t="e">
        <f t="shared" si="30"/>
        <v>#DIV/0!</v>
      </c>
      <c r="F123" s="16"/>
      <c r="G123" s="16"/>
      <c r="H123" s="16"/>
      <c r="I123" s="16"/>
      <c r="J123" s="16"/>
      <c r="K123" s="16" t="e">
        <f t="shared" si="48"/>
        <v>#DIV/0!</v>
      </c>
      <c r="L123" s="16"/>
      <c r="M123" s="104"/>
      <c r="N123" s="104"/>
      <c r="O123" s="47"/>
      <c r="P123" s="17"/>
      <c r="Q123" s="62"/>
      <c r="R123" s="17"/>
      <c r="S123" s="45"/>
      <c r="T123" s="48"/>
      <c r="U123" s="48"/>
      <c r="V123" s="18">
        <f t="shared" si="39"/>
        <v>0</v>
      </c>
      <c r="W123" s="56" t="e">
        <f>IF(#REF!&gt;DATE(2010,9,30),ROUNDUP(ABS( V123/U123 ),3),ROUNDUP(ABS( (T123-T124)/T124 ),3))</f>
        <v>#REF!</v>
      </c>
      <c r="X123" s="49"/>
      <c r="Y123" s="49"/>
      <c r="Z123" s="49"/>
      <c r="AA123" s="49"/>
      <c r="AB123" s="16"/>
      <c r="AC123" s="46"/>
      <c r="AD123" s="46"/>
      <c r="AE123" s="50"/>
      <c r="AF123" s="51"/>
      <c r="AG123" s="62"/>
      <c r="AH123" s="17"/>
    </row>
    <row r="124" spans="1:34">
      <c r="A124" s="112"/>
      <c r="B124" s="113"/>
      <c r="C124" s="113"/>
      <c r="D124" s="114">
        <f t="shared" si="29"/>
        <v>0</v>
      </c>
      <c r="E124" s="19" t="e">
        <f t="shared" si="30"/>
        <v>#DIV/0!</v>
      </c>
      <c r="F124" s="16"/>
      <c r="G124" s="16"/>
      <c r="H124" s="16"/>
      <c r="I124" s="16"/>
      <c r="J124" s="16"/>
      <c r="K124" s="16" t="e">
        <f t="shared" si="48"/>
        <v>#DIV/0!</v>
      </c>
      <c r="L124" s="16"/>
      <c r="M124" s="104"/>
      <c r="N124" s="104"/>
      <c r="O124" s="47"/>
      <c r="P124" s="17"/>
      <c r="Q124" s="62"/>
      <c r="R124" s="17"/>
      <c r="S124" s="45"/>
      <c r="T124" s="48"/>
      <c r="U124" s="48"/>
      <c r="V124" s="18">
        <f t="shared" si="39"/>
        <v>0</v>
      </c>
      <c r="W124" s="56" t="e">
        <f>IF(#REF!&gt;DATE(2010,9,30),ROUNDUP(ABS( V124/U124 ),3),ROUNDUP(ABS( (T124-T125)/T125 ),3))</f>
        <v>#REF!</v>
      </c>
      <c r="X124" s="49"/>
      <c r="Y124" s="49"/>
      <c r="Z124" s="49"/>
      <c r="AA124" s="49"/>
      <c r="AB124" s="16"/>
      <c r="AC124" s="46"/>
      <c r="AD124" s="46"/>
      <c r="AE124" s="50"/>
      <c r="AF124" s="51"/>
      <c r="AG124" s="62"/>
      <c r="AH124" s="17"/>
    </row>
    <row r="125" spans="1:34">
      <c r="A125" s="112"/>
      <c r="B125" s="113"/>
      <c r="C125" s="113"/>
      <c r="D125" s="114">
        <f t="shared" si="29"/>
        <v>0</v>
      </c>
      <c r="E125" s="19" t="e">
        <f t="shared" si="30"/>
        <v>#DIV/0!</v>
      </c>
      <c r="F125" s="16"/>
      <c r="G125" s="16"/>
      <c r="H125" s="16"/>
      <c r="I125" s="16"/>
      <c r="J125" s="16"/>
      <c r="K125" s="16" t="e">
        <f t="shared" si="48"/>
        <v>#DIV/0!</v>
      </c>
      <c r="L125" s="16"/>
      <c r="M125" s="104"/>
      <c r="N125" s="104"/>
      <c r="O125" s="47"/>
      <c r="P125" s="17"/>
      <c r="Q125" s="62"/>
      <c r="R125" s="17"/>
      <c r="S125" s="45"/>
      <c r="T125" s="48"/>
      <c r="U125" s="48"/>
      <c r="V125" s="18">
        <f t="shared" si="39"/>
        <v>0</v>
      </c>
      <c r="W125" s="56" t="e">
        <f>IF(#REF!&gt;DATE(2010,9,30),ROUNDUP(ABS( V125/U125 ),3),ROUNDUP(ABS( (T125-T126)/T126 ),3))</f>
        <v>#REF!</v>
      </c>
      <c r="X125" s="49"/>
      <c r="Y125" s="49"/>
      <c r="Z125" s="49"/>
      <c r="AA125" s="49"/>
      <c r="AB125" s="16"/>
      <c r="AC125" s="46"/>
      <c r="AD125" s="46"/>
      <c r="AE125" s="50"/>
      <c r="AF125" s="51"/>
      <c r="AG125" s="62"/>
      <c r="AH125" s="17"/>
    </row>
    <row r="126" spans="1:34">
      <c r="A126" s="112"/>
      <c r="B126" s="113"/>
      <c r="C126" s="113"/>
      <c r="D126" s="114">
        <f t="shared" si="29"/>
        <v>0</v>
      </c>
      <c r="E126" s="19" t="e">
        <f t="shared" si="30"/>
        <v>#DIV/0!</v>
      </c>
      <c r="F126" s="16"/>
      <c r="G126" s="16"/>
      <c r="H126" s="16"/>
      <c r="I126" s="16"/>
      <c r="J126" s="16"/>
      <c r="K126" s="16" t="e">
        <f t="shared" si="48"/>
        <v>#DIV/0!</v>
      </c>
      <c r="L126" s="16"/>
      <c r="M126" s="104"/>
      <c r="N126" s="104"/>
      <c r="O126" s="47"/>
      <c r="P126" s="17"/>
      <c r="Q126" s="62"/>
      <c r="R126" s="17"/>
      <c r="S126" s="45"/>
      <c r="T126" s="48"/>
      <c r="U126" s="48"/>
      <c r="V126" s="18">
        <f t="shared" si="39"/>
        <v>0</v>
      </c>
      <c r="W126" s="56" t="e">
        <f>IF(#REF!&gt;DATE(2010,9,30),ROUNDUP(ABS( V126/U126 ),3),ROUNDUP(ABS( (T126-T127)/T127 ),3))</f>
        <v>#REF!</v>
      </c>
      <c r="X126" s="49"/>
      <c r="Y126" s="49"/>
      <c r="Z126" s="49"/>
      <c r="AA126" s="49"/>
      <c r="AB126" s="16"/>
      <c r="AC126" s="46"/>
      <c r="AD126" s="46"/>
      <c r="AE126" s="50"/>
      <c r="AF126" s="51"/>
      <c r="AG126" s="62"/>
      <c r="AH126" s="17"/>
    </row>
    <row r="127" spans="1:34">
      <c r="A127" s="112"/>
      <c r="B127" s="113"/>
      <c r="C127" s="113"/>
      <c r="D127" s="114">
        <f t="shared" si="29"/>
        <v>0</v>
      </c>
      <c r="E127" s="19" t="e">
        <f t="shared" si="30"/>
        <v>#DIV/0!</v>
      </c>
      <c r="F127" s="16"/>
      <c r="G127" s="16"/>
      <c r="H127" s="16"/>
      <c r="I127" s="16"/>
      <c r="J127" s="16"/>
      <c r="K127" s="16" t="e">
        <f t="shared" si="48"/>
        <v>#DIV/0!</v>
      </c>
      <c r="L127" s="16"/>
      <c r="M127" s="104"/>
      <c r="N127" s="104"/>
      <c r="O127" s="47"/>
      <c r="P127" s="17"/>
      <c r="Q127" s="62"/>
      <c r="R127" s="17"/>
      <c r="S127" s="45"/>
      <c r="T127" s="48"/>
      <c r="U127" s="48"/>
      <c r="V127" s="18">
        <f t="shared" si="39"/>
        <v>0</v>
      </c>
      <c r="W127" s="56" t="e">
        <f>IF(#REF!&gt;DATE(2010,9,30),ROUNDUP(ABS( V127/U127 ),3),ROUNDUP(ABS( (T127-T128)/T128 ),3))</f>
        <v>#REF!</v>
      </c>
      <c r="X127" s="49"/>
      <c r="Y127" s="49"/>
      <c r="Z127" s="49"/>
      <c r="AA127" s="49"/>
      <c r="AB127" s="16"/>
      <c r="AC127" s="46"/>
      <c r="AD127" s="46"/>
      <c r="AE127" s="50"/>
      <c r="AF127" s="51"/>
      <c r="AG127" s="62"/>
      <c r="AH127" s="17"/>
    </row>
    <row r="128" spans="1:34">
      <c r="A128" s="112"/>
      <c r="B128" s="113"/>
      <c r="C128" s="113"/>
      <c r="D128" s="114">
        <f t="shared" si="29"/>
        <v>0</v>
      </c>
      <c r="E128" s="19" t="e">
        <f t="shared" si="30"/>
        <v>#DIV/0!</v>
      </c>
      <c r="F128" s="16"/>
      <c r="G128" s="16"/>
      <c r="H128" s="16"/>
      <c r="I128" s="16"/>
      <c r="J128" s="16"/>
      <c r="K128" s="16" t="e">
        <f t="shared" si="48"/>
        <v>#DIV/0!</v>
      </c>
      <c r="L128" s="16"/>
      <c r="M128" s="104"/>
      <c r="N128" s="104"/>
      <c r="O128" s="47"/>
      <c r="P128" s="17"/>
      <c r="Q128" s="62"/>
      <c r="R128" s="17"/>
      <c r="S128" s="45"/>
      <c r="T128" s="48"/>
      <c r="U128" s="48"/>
      <c r="V128" s="18">
        <f t="shared" si="39"/>
        <v>0</v>
      </c>
      <c r="W128" s="56" t="e">
        <f>IF(#REF!&gt;DATE(2010,9,30),ROUNDUP(ABS( V128/U128 ),3),ROUNDUP(ABS( (T128-T129)/T129 ),3))</f>
        <v>#REF!</v>
      </c>
      <c r="X128" s="49"/>
      <c r="Y128" s="49"/>
      <c r="Z128" s="49"/>
      <c r="AA128" s="49"/>
      <c r="AB128" s="16"/>
      <c r="AC128" s="46"/>
      <c r="AD128" s="46"/>
      <c r="AE128" s="50"/>
      <c r="AF128" s="51"/>
      <c r="AG128" s="62"/>
      <c r="AH128" s="17"/>
    </row>
    <row r="129" spans="1:34">
      <c r="A129" s="112"/>
      <c r="B129" s="113"/>
      <c r="C129" s="113"/>
      <c r="D129" s="114">
        <f t="shared" si="29"/>
        <v>0</v>
      </c>
      <c r="E129" s="19" t="e">
        <f t="shared" si="30"/>
        <v>#DIV/0!</v>
      </c>
      <c r="F129" s="16"/>
      <c r="G129" s="16"/>
      <c r="H129" s="16"/>
      <c r="I129" s="16"/>
      <c r="J129" s="16"/>
      <c r="K129" s="16" t="e">
        <f t="shared" si="48"/>
        <v>#DIV/0!</v>
      </c>
      <c r="L129" s="16"/>
      <c r="M129" s="104"/>
      <c r="N129" s="104"/>
      <c r="O129" s="47"/>
      <c r="P129" s="17"/>
      <c r="Q129" s="62"/>
      <c r="R129" s="17"/>
      <c r="S129" s="45"/>
      <c r="T129" s="48"/>
      <c r="U129" s="48"/>
      <c r="V129" s="18">
        <f t="shared" si="39"/>
        <v>0</v>
      </c>
      <c r="W129" s="56" t="e">
        <f>IF(#REF!&gt;DATE(2010,9,30),ROUNDUP(ABS( V129/U129 ),3),ROUNDUP(ABS( (T129-T130)/T130 ),3))</f>
        <v>#REF!</v>
      </c>
      <c r="X129" s="49"/>
      <c r="Y129" s="49"/>
      <c r="Z129" s="49"/>
      <c r="AA129" s="49"/>
      <c r="AB129" s="16"/>
      <c r="AC129" s="46"/>
      <c r="AD129" s="46"/>
      <c r="AE129" s="50"/>
      <c r="AF129" s="51"/>
      <c r="AG129" s="62"/>
      <c r="AH129" s="17"/>
    </row>
    <row r="130" spans="1:34">
      <c r="A130" s="112"/>
      <c r="B130" s="113"/>
      <c r="C130" s="113"/>
      <c r="D130" s="114">
        <f t="shared" si="29"/>
        <v>0</v>
      </c>
      <c r="E130" s="19" t="e">
        <f t="shared" si="30"/>
        <v>#DIV/0!</v>
      </c>
      <c r="F130" s="16"/>
      <c r="G130" s="16"/>
      <c r="H130" s="16"/>
      <c r="I130" s="16"/>
      <c r="J130" s="16"/>
      <c r="K130" s="16" t="e">
        <f t="shared" si="48"/>
        <v>#DIV/0!</v>
      </c>
      <c r="L130" s="16"/>
      <c r="M130" s="104"/>
      <c r="N130" s="104"/>
      <c r="O130" s="47"/>
      <c r="P130" s="17"/>
      <c r="Q130" s="62"/>
      <c r="R130" s="17"/>
      <c r="S130" s="45"/>
      <c r="T130" s="48"/>
      <c r="U130" s="48"/>
      <c r="V130" s="18">
        <f t="shared" si="39"/>
        <v>0</v>
      </c>
      <c r="W130" s="56" t="e">
        <f>IF(#REF!&gt;DATE(2010,9,30),ROUNDUP(ABS( V130/U130 ),3),ROUNDUP(ABS( (T130-T131)/T131 ),3))</f>
        <v>#REF!</v>
      </c>
      <c r="X130" s="49"/>
      <c r="Y130" s="49"/>
      <c r="Z130" s="49"/>
      <c r="AA130" s="49"/>
      <c r="AB130" s="16"/>
      <c r="AC130" s="46"/>
      <c r="AD130" s="46"/>
      <c r="AE130" s="50"/>
      <c r="AF130" s="51"/>
      <c r="AG130" s="62"/>
      <c r="AH130" s="17"/>
    </row>
    <row r="131" spans="1:34">
      <c r="A131" s="112"/>
      <c r="B131" s="113"/>
      <c r="C131" s="113"/>
      <c r="D131" s="114">
        <f t="shared" ref="D131:D194" si="50">B131-C131</f>
        <v>0</v>
      </c>
      <c r="E131" s="19" t="e">
        <f t="shared" ref="E131:E194" si="51">IF($A131&gt;DATE(2010,9,30),ROUNDUP(ABS( D131/C131 ),3),ROUNDUP(ABS( (B131-B132)/B132 ),3))</f>
        <v>#DIV/0!</v>
      </c>
      <c r="F131" s="16"/>
      <c r="G131" s="16"/>
      <c r="H131" s="16"/>
      <c r="I131" s="16"/>
      <c r="J131" s="16"/>
      <c r="K131" s="16" t="e">
        <f t="shared" si="48"/>
        <v>#DIV/0!</v>
      </c>
      <c r="L131" s="16"/>
      <c r="M131" s="104"/>
      <c r="N131" s="104"/>
      <c r="O131" s="47"/>
      <c r="P131" s="17"/>
      <c r="Q131" s="62"/>
      <c r="R131" s="17"/>
      <c r="S131" s="45"/>
      <c r="T131" s="48"/>
      <c r="U131" s="48"/>
      <c r="V131" s="18">
        <f t="shared" ref="V131:V194" si="52">T131-U131</f>
        <v>0</v>
      </c>
      <c r="W131" s="56" t="e">
        <f>IF(#REF!&gt;DATE(2010,9,30),ROUNDUP(ABS( V131/U131 ),3),ROUNDUP(ABS( (T131-T132)/T132 ),3))</f>
        <v>#REF!</v>
      </c>
      <c r="X131" s="49"/>
      <c r="Y131" s="49"/>
      <c r="Z131" s="49"/>
      <c r="AA131" s="49"/>
      <c r="AB131" s="16"/>
      <c r="AC131" s="46"/>
      <c r="AD131" s="46"/>
      <c r="AE131" s="50"/>
      <c r="AF131" s="51"/>
      <c r="AG131" s="62"/>
      <c r="AH131" s="17"/>
    </row>
    <row r="132" spans="1:34">
      <c r="A132" s="112"/>
      <c r="B132" s="113"/>
      <c r="C132" s="113"/>
      <c r="D132" s="114">
        <f t="shared" si="50"/>
        <v>0</v>
      </c>
      <c r="E132" s="19" t="e">
        <f t="shared" si="51"/>
        <v>#DIV/0!</v>
      </c>
      <c r="F132" s="16"/>
      <c r="G132" s="16"/>
      <c r="H132" s="16"/>
      <c r="I132" s="16"/>
      <c r="J132" s="16"/>
      <c r="K132" s="16" t="e">
        <f t="shared" ref="K132:K195" si="53">AVERAGE(F132:J132)</f>
        <v>#DIV/0!</v>
      </c>
      <c r="L132" s="16"/>
      <c r="M132" s="104"/>
      <c r="N132" s="104"/>
      <c r="O132" s="47"/>
      <c r="P132" s="17"/>
      <c r="Q132" s="62"/>
      <c r="R132" s="17"/>
      <c r="S132" s="45"/>
      <c r="T132" s="48"/>
      <c r="U132" s="48"/>
      <c r="V132" s="18">
        <f t="shared" si="52"/>
        <v>0</v>
      </c>
      <c r="W132" s="56" t="e">
        <f>IF(#REF!&gt;DATE(2010,9,30),ROUNDUP(ABS( V132/U132 ),3),ROUNDUP(ABS( (T132-T133)/T133 ),3))</f>
        <v>#REF!</v>
      </c>
      <c r="X132" s="49"/>
      <c r="Y132" s="49"/>
      <c r="Z132" s="49"/>
      <c r="AA132" s="49"/>
      <c r="AB132" s="16"/>
      <c r="AC132" s="46"/>
      <c r="AD132" s="46"/>
      <c r="AE132" s="50"/>
      <c r="AF132" s="51"/>
      <c r="AG132" s="62"/>
      <c r="AH132" s="17"/>
    </row>
    <row r="133" spans="1:34">
      <c r="A133" s="112"/>
      <c r="B133" s="113"/>
      <c r="C133" s="113"/>
      <c r="D133" s="114">
        <f t="shared" si="50"/>
        <v>0</v>
      </c>
      <c r="E133" s="19" t="e">
        <f t="shared" si="51"/>
        <v>#DIV/0!</v>
      </c>
      <c r="F133" s="16"/>
      <c r="G133" s="16"/>
      <c r="H133" s="16"/>
      <c r="I133" s="16"/>
      <c r="J133" s="16"/>
      <c r="K133" s="16" t="e">
        <f t="shared" si="53"/>
        <v>#DIV/0!</v>
      </c>
      <c r="L133" s="16"/>
      <c r="M133" s="104"/>
      <c r="N133" s="104"/>
      <c r="O133" s="47"/>
      <c r="P133" s="17"/>
      <c r="Q133" s="62"/>
      <c r="R133" s="17"/>
      <c r="S133" s="45"/>
      <c r="T133" s="48"/>
      <c r="U133" s="48"/>
      <c r="V133" s="18">
        <f t="shared" si="52"/>
        <v>0</v>
      </c>
      <c r="W133" s="56" t="e">
        <f>IF(#REF!&gt;DATE(2010,9,30),ROUNDUP(ABS( V133/U133 ),3),ROUNDUP(ABS( (T133-T134)/T134 ),3))</f>
        <v>#REF!</v>
      </c>
      <c r="X133" s="49"/>
      <c r="Y133" s="49"/>
      <c r="Z133" s="49"/>
      <c r="AA133" s="49"/>
      <c r="AB133" s="16"/>
      <c r="AC133" s="46"/>
      <c r="AD133" s="46"/>
      <c r="AE133" s="50"/>
      <c r="AF133" s="51"/>
      <c r="AG133" s="62"/>
      <c r="AH133" s="17"/>
    </row>
    <row r="134" spans="1:34">
      <c r="A134" s="112"/>
      <c r="B134" s="113"/>
      <c r="C134" s="113"/>
      <c r="D134" s="114">
        <f t="shared" si="50"/>
        <v>0</v>
      </c>
      <c r="E134" s="19" t="e">
        <f t="shared" si="51"/>
        <v>#DIV/0!</v>
      </c>
      <c r="F134" s="16"/>
      <c r="G134" s="16"/>
      <c r="H134" s="16"/>
      <c r="I134" s="16"/>
      <c r="J134" s="16"/>
      <c r="K134" s="16" t="e">
        <f t="shared" si="53"/>
        <v>#DIV/0!</v>
      </c>
      <c r="L134" s="16"/>
      <c r="M134" s="104"/>
      <c r="N134" s="104"/>
      <c r="O134" s="47"/>
      <c r="P134" s="17"/>
      <c r="Q134" s="62"/>
      <c r="R134" s="17"/>
      <c r="S134" s="45"/>
      <c r="T134" s="48"/>
      <c r="U134" s="48"/>
      <c r="V134" s="18">
        <f t="shared" si="52"/>
        <v>0</v>
      </c>
      <c r="W134" s="56" t="e">
        <f>IF(#REF!&gt;DATE(2010,9,30),ROUNDUP(ABS( V134/U134 ),3),ROUNDUP(ABS( (T134-T135)/T135 ),3))</f>
        <v>#REF!</v>
      </c>
      <c r="X134" s="49"/>
      <c r="Y134" s="49"/>
      <c r="Z134" s="49"/>
      <c r="AA134" s="49"/>
      <c r="AB134" s="16"/>
      <c r="AC134" s="46"/>
      <c r="AD134" s="46"/>
      <c r="AE134" s="50"/>
      <c r="AF134" s="51"/>
      <c r="AG134" s="62"/>
      <c r="AH134" s="17"/>
    </row>
    <row r="135" spans="1:34">
      <c r="A135" s="112"/>
      <c r="B135" s="113"/>
      <c r="C135" s="113"/>
      <c r="D135" s="114">
        <f t="shared" si="50"/>
        <v>0</v>
      </c>
      <c r="E135" s="19" t="e">
        <f t="shared" si="51"/>
        <v>#DIV/0!</v>
      </c>
      <c r="F135" s="16"/>
      <c r="G135" s="16"/>
      <c r="H135" s="16"/>
      <c r="I135" s="16"/>
      <c r="J135" s="16"/>
      <c r="K135" s="16" t="e">
        <f t="shared" si="53"/>
        <v>#DIV/0!</v>
      </c>
      <c r="L135" s="16"/>
      <c r="M135" s="104"/>
      <c r="N135" s="104"/>
      <c r="O135" s="47"/>
      <c r="P135" s="17"/>
      <c r="Q135" s="62"/>
      <c r="R135" s="17"/>
      <c r="S135" s="45"/>
      <c r="T135" s="48"/>
      <c r="U135" s="48"/>
      <c r="V135" s="18">
        <f t="shared" si="52"/>
        <v>0</v>
      </c>
      <c r="W135" s="56" t="e">
        <f>IF(#REF!&gt;DATE(2010,9,30),ROUNDUP(ABS( V135/U135 ),3),ROUNDUP(ABS( (T135-T136)/T136 ),3))</f>
        <v>#REF!</v>
      </c>
      <c r="X135" s="49"/>
      <c r="Y135" s="49"/>
      <c r="Z135" s="49"/>
      <c r="AA135" s="49"/>
      <c r="AB135" s="16"/>
      <c r="AC135" s="46"/>
      <c r="AD135" s="46"/>
      <c r="AE135" s="50"/>
      <c r="AF135" s="51"/>
      <c r="AG135" s="62"/>
      <c r="AH135" s="17"/>
    </row>
    <row r="136" spans="1:34">
      <c r="A136" s="112"/>
      <c r="B136" s="113"/>
      <c r="C136" s="113"/>
      <c r="D136" s="114">
        <f t="shared" si="50"/>
        <v>0</v>
      </c>
      <c r="E136" s="19" t="e">
        <f t="shared" si="51"/>
        <v>#DIV/0!</v>
      </c>
      <c r="F136" s="16"/>
      <c r="G136" s="16"/>
      <c r="H136" s="16"/>
      <c r="I136" s="16"/>
      <c r="J136" s="16"/>
      <c r="K136" s="16" t="e">
        <f t="shared" si="53"/>
        <v>#DIV/0!</v>
      </c>
      <c r="L136" s="16"/>
      <c r="M136" s="104"/>
      <c r="N136" s="104"/>
      <c r="O136" s="47"/>
      <c r="P136" s="17"/>
      <c r="Q136" s="62"/>
      <c r="R136" s="17"/>
      <c r="S136" s="45"/>
      <c r="T136" s="48"/>
      <c r="U136" s="48"/>
      <c r="V136" s="18">
        <f t="shared" si="52"/>
        <v>0</v>
      </c>
      <c r="W136" s="56" t="e">
        <f>IF(#REF!&gt;DATE(2010,9,30),ROUNDUP(ABS( V136/U136 ),3),ROUNDUP(ABS( (T136-T137)/T137 ),3))</f>
        <v>#REF!</v>
      </c>
      <c r="X136" s="49"/>
      <c r="Y136" s="49"/>
      <c r="Z136" s="49"/>
      <c r="AA136" s="49"/>
      <c r="AB136" s="16"/>
      <c r="AC136" s="46"/>
      <c r="AD136" s="46"/>
      <c r="AE136" s="50"/>
      <c r="AF136" s="51"/>
      <c r="AG136" s="62"/>
      <c r="AH136" s="17"/>
    </row>
    <row r="137" spans="1:34">
      <c r="A137" s="112"/>
      <c r="B137" s="113"/>
      <c r="C137" s="113"/>
      <c r="D137" s="114">
        <f t="shared" si="50"/>
        <v>0</v>
      </c>
      <c r="E137" s="19" t="e">
        <f t="shared" si="51"/>
        <v>#DIV/0!</v>
      </c>
      <c r="F137" s="16"/>
      <c r="G137" s="16"/>
      <c r="H137" s="16"/>
      <c r="I137" s="16"/>
      <c r="J137" s="16"/>
      <c r="K137" s="16" t="e">
        <f t="shared" si="53"/>
        <v>#DIV/0!</v>
      </c>
      <c r="L137" s="16"/>
      <c r="M137" s="104"/>
      <c r="N137" s="104"/>
      <c r="O137" s="47"/>
      <c r="P137" s="17"/>
      <c r="Q137" s="62"/>
      <c r="R137" s="17"/>
      <c r="S137" s="45"/>
      <c r="T137" s="48"/>
      <c r="U137" s="48"/>
      <c r="V137" s="18">
        <f t="shared" si="52"/>
        <v>0</v>
      </c>
      <c r="W137" s="56" t="e">
        <f>IF(#REF!&gt;DATE(2010,9,30),ROUNDUP(ABS( V137/U137 ),3),ROUNDUP(ABS( (T137-T138)/T138 ),3))</f>
        <v>#REF!</v>
      </c>
      <c r="X137" s="49"/>
      <c r="Y137" s="49"/>
      <c r="Z137" s="49"/>
      <c r="AA137" s="49"/>
      <c r="AB137" s="16"/>
      <c r="AC137" s="46"/>
      <c r="AD137" s="46"/>
      <c r="AE137" s="50"/>
      <c r="AF137" s="51"/>
      <c r="AG137" s="62"/>
      <c r="AH137" s="17"/>
    </row>
    <row r="138" spans="1:34">
      <c r="A138" s="112"/>
      <c r="B138" s="113"/>
      <c r="C138" s="113"/>
      <c r="D138" s="114">
        <f t="shared" si="50"/>
        <v>0</v>
      </c>
      <c r="E138" s="19" t="e">
        <f t="shared" si="51"/>
        <v>#DIV/0!</v>
      </c>
      <c r="F138" s="16"/>
      <c r="G138" s="16"/>
      <c r="H138" s="16"/>
      <c r="I138" s="16"/>
      <c r="J138" s="16"/>
      <c r="K138" s="16" t="e">
        <f t="shared" si="53"/>
        <v>#DIV/0!</v>
      </c>
      <c r="L138" s="16"/>
      <c r="M138" s="104"/>
      <c r="N138" s="104"/>
      <c r="O138" s="47"/>
      <c r="P138" s="17"/>
      <c r="Q138" s="62"/>
      <c r="R138" s="17"/>
      <c r="S138" s="45"/>
      <c r="T138" s="48"/>
      <c r="U138" s="48"/>
      <c r="V138" s="18">
        <f t="shared" si="52"/>
        <v>0</v>
      </c>
      <c r="W138" s="56" t="e">
        <f>IF(#REF!&gt;DATE(2010,9,30),ROUNDUP(ABS( V138/U138 ),3),ROUNDUP(ABS( (T138-T139)/T139 ),3))</f>
        <v>#REF!</v>
      </c>
      <c r="X138" s="49"/>
      <c r="Y138" s="49"/>
      <c r="Z138" s="49"/>
      <c r="AA138" s="49"/>
      <c r="AB138" s="16"/>
      <c r="AC138" s="46"/>
      <c r="AD138" s="46"/>
      <c r="AE138" s="50"/>
      <c r="AF138" s="51"/>
      <c r="AG138" s="62"/>
      <c r="AH138" s="17"/>
    </row>
    <row r="139" spans="1:34">
      <c r="A139" s="112"/>
      <c r="B139" s="113"/>
      <c r="C139" s="113"/>
      <c r="D139" s="114">
        <f t="shared" si="50"/>
        <v>0</v>
      </c>
      <c r="E139" s="19" t="e">
        <f t="shared" si="51"/>
        <v>#DIV/0!</v>
      </c>
      <c r="F139" s="16"/>
      <c r="G139" s="16"/>
      <c r="H139" s="16"/>
      <c r="I139" s="16"/>
      <c r="J139" s="16"/>
      <c r="K139" s="16" t="e">
        <f t="shared" si="53"/>
        <v>#DIV/0!</v>
      </c>
      <c r="L139" s="16"/>
      <c r="M139" s="104"/>
      <c r="N139" s="104"/>
      <c r="O139" s="47"/>
      <c r="P139" s="17"/>
      <c r="Q139" s="62"/>
      <c r="R139" s="17"/>
      <c r="S139" s="45"/>
      <c r="T139" s="48"/>
      <c r="U139" s="48"/>
      <c r="V139" s="18">
        <f t="shared" si="52"/>
        <v>0</v>
      </c>
      <c r="W139" s="56" t="e">
        <f>IF(#REF!&gt;DATE(2010,9,30),ROUNDUP(ABS( V139/U139 ),3),ROUNDUP(ABS( (T139-T140)/T140 ),3))</f>
        <v>#REF!</v>
      </c>
      <c r="X139" s="49"/>
      <c r="Y139" s="49"/>
      <c r="Z139" s="49"/>
      <c r="AA139" s="49"/>
      <c r="AB139" s="16"/>
      <c r="AC139" s="46"/>
      <c r="AD139" s="46"/>
      <c r="AE139" s="50"/>
      <c r="AF139" s="51"/>
      <c r="AG139" s="62"/>
      <c r="AH139" s="17"/>
    </row>
    <row r="140" spans="1:34">
      <c r="A140" s="112"/>
      <c r="B140" s="113"/>
      <c r="C140" s="113"/>
      <c r="D140" s="114">
        <f t="shared" si="50"/>
        <v>0</v>
      </c>
      <c r="E140" s="19" t="e">
        <f t="shared" si="51"/>
        <v>#DIV/0!</v>
      </c>
      <c r="F140" s="16"/>
      <c r="G140" s="16"/>
      <c r="H140" s="16"/>
      <c r="I140" s="16"/>
      <c r="J140" s="16"/>
      <c r="K140" s="16" t="e">
        <f t="shared" si="53"/>
        <v>#DIV/0!</v>
      </c>
      <c r="L140" s="16"/>
      <c r="M140" s="104"/>
      <c r="N140" s="104"/>
      <c r="O140" s="47"/>
      <c r="P140" s="17"/>
      <c r="Q140" s="62"/>
      <c r="R140" s="17"/>
      <c r="S140" s="45"/>
      <c r="T140" s="48"/>
      <c r="U140" s="48"/>
      <c r="V140" s="18">
        <f t="shared" si="52"/>
        <v>0</v>
      </c>
      <c r="W140" s="56" t="e">
        <f>IF(#REF!&gt;DATE(2010,9,30),ROUNDUP(ABS( V140/U140 ),3),ROUNDUP(ABS( (T140-T141)/T141 ),3))</f>
        <v>#REF!</v>
      </c>
      <c r="X140" s="49"/>
      <c r="Y140" s="49"/>
      <c r="Z140" s="49"/>
      <c r="AA140" s="49"/>
      <c r="AB140" s="16"/>
      <c r="AC140" s="46"/>
      <c r="AD140" s="46"/>
      <c r="AE140" s="50"/>
      <c r="AF140" s="51"/>
      <c r="AG140" s="62"/>
      <c r="AH140" s="17"/>
    </row>
    <row r="141" spans="1:34">
      <c r="A141" s="112"/>
      <c r="B141" s="113"/>
      <c r="C141" s="113"/>
      <c r="D141" s="114">
        <f t="shared" si="50"/>
        <v>0</v>
      </c>
      <c r="E141" s="19" t="e">
        <f t="shared" si="51"/>
        <v>#DIV/0!</v>
      </c>
      <c r="F141" s="16"/>
      <c r="G141" s="16"/>
      <c r="H141" s="16"/>
      <c r="I141" s="16"/>
      <c r="J141" s="16"/>
      <c r="K141" s="16" t="e">
        <f t="shared" si="53"/>
        <v>#DIV/0!</v>
      </c>
      <c r="L141" s="16"/>
      <c r="M141" s="104"/>
      <c r="N141" s="104"/>
      <c r="O141" s="47"/>
      <c r="P141" s="17"/>
      <c r="Q141" s="62"/>
      <c r="R141" s="17"/>
      <c r="S141" s="45"/>
      <c r="T141" s="48"/>
      <c r="U141" s="48"/>
      <c r="V141" s="18">
        <f t="shared" si="52"/>
        <v>0</v>
      </c>
      <c r="W141" s="56" t="e">
        <f>IF(#REF!&gt;DATE(2010,9,30),ROUNDUP(ABS( V141/U141 ),3),ROUNDUP(ABS( (T141-T142)/T142 ),3))</f>
        <v>#REF!</v>
      </c>
      <c r="X141" s="49"/>
      <c r="Y141" s="49"/>
      <c r="Z141" s="49"/>
      <c r="AA141" s="49"/>
      <c r="AB141" s="16"/>
      <c r="AC141" s="46"/>
      <c r="AD141" s="46"/>
      <c r="AE141" s="50"/>
      <c r="AF141" s="51"/>
      <c r="AG141" s="62"/>
      <c r="AH141" s="17"/>
    </row>
    <row r="142" spans="1:34">
      <c r="A142" s="112"/>
      <c r="B142" s="113"/>
      <c r="C142" s="113"/>
      <c r="D142" s="114">
        <f t="shared" si="50"/>
        <v>0</v>
      </c>
      <c r="E142" s="19" t="e">
        <f t="shared" si="51"/>
        <v>#DIV/0!</v>
      </c>
      <c r="F142" s="16"/>
      <c r="G142" s="16"/>
      <c r="H142" s="16"/>
      <c r="I142" s="16"/>
      <c r="J142" s="16"/>
      <c r="K142" s="16" t="e">
        <f t="shared" si="53"/>
        <v>#DIV/0!</v>
      </c>
      <c r="L142" s="16"/>
      <c r="M142" s="104"/>
      <c r="N142" s="104"/>
      <c r="O142" s="47"/>
      <c r="P142" s="17"/>
      <c r="Q142" s="62"/>
      <c r="R142" s="17"/>
      <c r="S142" s="45"/>
      <c r="T142" s="48"/>
      <c r="U142" s="48"/>
      <c r="V142" s="18">
        <f t="shared" si="52"/>
        <v>0</v>
      </c>
      <c r="W142" s="56" t="e">
        <f>IF(#REF!&gt;DATE(2010,9,30),ROUNDUP(ABS( V142/U142 ),3),ROUNDUP(ABS( (T142-T143)/T143 ),3))</f>
        <v>#REF!</v>
      </c>
      <c r="X142" s="49"/>
      <c r="Y142" s="49"/>
      <c r="Z142" s="49"/>
      <c r="AA142" s="49"/>
      <c r="AB142" s="16"/>
      <c r="AC142" s="46"/>
      <c r="AD142" s="46"/>
      <c r="AE142" s="50"/>
      <c r="AF142" s="51"/>
      <c r="AG142" s="62"/>
      <c r="AH142" s="17"/>
    </row>
    <row r="143" spans="1:34">
      <c r="A143" s="112"/>
      <c r="B143" s="113"/>
      <c r="C143" s="113"/>
      <c r="D143" s="114">
        <f t="shared" si="50"/>
        <v>0</v>
      </c>
      <c r="E143" s="19" t="e">
        <f t="shared" si="51"/>
        <v>#DIV/0!</v>
      </c>
      <c r="F143" s="16"/>
      <c r="G143" s="16"/>
      <c r="H143" s="16"/>
      <c r="I143" s="16"/>
      <c r="J143" s="16"/>
      <c r="K143" s="16" t="e">
        <f t="shared" si="53"/>
        <v>#DIV/0!</v>
      </c>
      <c r="L143" s="16"/>
      <c r="M143" s="104"/>
      <c r="N143" s="104"/>
      <c r="O143" s="47"/>
      <c r="P143" s="17"/>
      <c r="Q143" s="62"/>
      <c r="R143" s="17"/>
      <c r="S143" s="45"/>
      <c r="T143" s="48"/>
      <c r="U143" s="48"/>
      <c r="V143" s="18">
        <f t="shared" si="52"/>
        <v>0</v>
      </c>
      <c r="W143" s="56" t="e">
        <f>IF(#REF!&gt;DATE(2010,9,30),ROUNDUP(ABS( V143/U143 ),3),ROUNDUP(ABS( (T143-T144)/T144 ),3))</f>
        <v>#REF!</v>
      </c>
      <c r="X143" s="49"/>
      <c r="Y143" s="49"/>
      <c r="Z143" s="49"/>
      <c r="AA143" s="49"/>
      <c r="AB143" s="16"/>
      <c r="AC143" s="46"/>
      <c r="AD143" s="46"/>
      <c r="AE143" s="50"/>
      <c r="AF143" s="51"/>
      <c r="AG143" s="62"/>
      <c r="AH143" s="17"/>
    </row>
    <row r="144" spans="1:34">
      <c r="A144" s="112"/>
      <c r="B144" s="113"/>
      <c r="C144" s="113"/>
      <c r="D144" s="114">
        <f t="shared" si="50"/>
        <v>0</v>
      </c>
      <c r="E144" s="19" t="e">
        <f t="shared" si="51"/>
        <v>#DIV/0!</v>
      </c>
      <c r="F144" s="16"/>
      <c r="G144" s="16"/>
      <c r="H144" s="16"/>
      <c r="I144" s="16"/>
      <c r="J144" s="16"/>
      <c r="K144" s="16" t="e">
        <f t="shared" si="53"/>
        <v>#DIV/0!</v>
      </c>
      <c r="L144" s="16"/>
      <c r="M144" s="104"/>
      <c r="N144" s="104"/>
      <c r="O144" s="47"/>
      <c r="P144" s="17"/>
      <c r="Q144" s="62"/>
      <c r="R144" s="17"/>
      <c r="S144" s="45"/>
      <c r="T144" s="48"/>
      <c r="U144" s="48"/>
      <c r="V144" s="18">
        <f t="shared" si="52"/>
        <v>0</v>
      </c>
      <c r="W144" s="56" t="e">
        <f>IF(#REF!&gt;DATE(2010,9,30),ROUNDUP(ABS( V144/U144 ),3),ROUNDUP(ABS( (T144-T145)/T145 ),3))</f>
        <v>#REF!</v>
      </c>
      <c r="X144" s="49"/>
      <c r="Y144" s="49"/>
      <c r="Z144" s="49"/>
      <c r="AA144" s="49"/>
      <c r="AB144" s="16"/>
      <c r="AC144" s="46"/>
      <c r="AD144" s="46"/>
      <c r="AE144" s="50"/>
      <c r="AF144" s="51"/>
      <c r="AG144" s="62"/>
      <c r="AH144" s="17"/>
    </row>
    <row r="145" spans="1:34">
      <c r="A145" s="112"/>
      <c r="B145" s="113"/>
      <c r="C145" s="113"/>
      <c r="D145" s="114">
        <f t="shared" si="50"/>
        <v>0</v>
      </c>
      <c r="E145" s="19" t="e">
        <f t="shared" si="51"/>
        <v>#DIV/0!</v>
      </c>
      <c r="F145" s="16"/>
      <c r="G145" s="16"/>
      <c r="H145" s="16"/>
      <c r="I145" s="16"/>
      <c r="J145" s="16"/>
      <c r="K145" s="16" t="e">
        <f t="shared" si="53"/>
        <v>#DIV/0!</v>
      </c>
      <c r="L145" s="16"/>
      <c r="M145" s="104"/>
      <c r="N145" s="104"/>
      <c r="O145" s="47"/>
      <c r="P145" s="17"/>
      <c r="Q145" s="62"/>
      <c r="R145" s="17"/>
      <c r="S145" s="45"/>
      <c r="T145" s="48"/>
      <c r="U145" s="48"/>
      <c r="V145" s="18">
        <f t="shared" si="52"/>
        <v>0</v>
      </c>
      <c r="W145" s="56" t="e">
        <f>IF(#REF!&gt;DATE(2010,9,30),ROUNDUP(ABS( V145/U145 ),3),ROUNDUP(ABS( (T145-T146)/T146 ),3))</f>
        <v>#REF!</v>
      </c>
      <c r="X145" s="49"/>
      <c r="Y145" s="49"/>
      <c r="Z145" s="49"/>
      <c r="AA145" s="49"/>
      <c r="AB145" s="16"/>
      <c r="AC145" s="46"/>
      <c r="AD145" s="46"/>
      <c r="AE145" s="50"/>
      <c r="AF145" s="51"/>
      <c r="AG145" s="62"/>
      <c r="AH145" s="17"/>
    </row>
    <row r="146" spans="1:34">
      <c r="A146" s="112"/>
      <c r="B146" s="113"/>
      <c r="C146" s="113"/>
      <c r="D146" s="114">
        <f t="shared" si="50"/>
        <v>0</v>
      </c>
      <c r="E146" s="19" t="e">
        <f t="shared" si="51"/>
        <v>#DIV/0!</v>
      </c>
      <c r="F146" s="16"/>
      <c r="G146" s="16"/>
      <c r="H146" s="16"/>
      <c r="I146" s="16"/>
      <c r="J146" s="16"/>
      <c r="K146" s="16" t="e">
        <f t="shared" si="53"/>
        <v>#DIV/0!</v>
      </c>
      <c r="L146" s="16"/>
      <c r="M146" s="104"/>
      <c r="N146" s="104"/>
      <c r="O146" s="47"/>
      <c r="P146" s="17"/>
      <c r="Q146" s="62"/>
      <c r="R146" s="17"/>
      <c r="S146" s="45"/>
      <c r="T146" s="48"/>
      <c r="U146" s="48"/>
      <c r="V146" s="18">
        <f t="shared" si="52"/>
        <v>0</v>
      </c>
      <c r="W146" s="56" t="e">
        <f>IF(#REF!&gt;DATE(2010,9,30),ROUNDUP(ABS( V146/U146 ),3),ROUNDUP(ABS( (T146-T147)/T147 ),3))</f>
        <v>#REF!</v>
      </c>
      <c r="X146" s="49"/>
      <c r="Y146" s="49"/>
      <c r="Z146" s="49"/>
      <c r="AA146" s="49"/>
      <c r="AB146" s="16"/>
      <c r="AC146" s="46"/>
      <c r="AD146" s="46"/>
      <c r="AE146" s="50"/>
      <c r="AF146" s="51"/>
      <c r="AG146" s="62"/>
      <c r="AH146" s="17"/>
    </row>
    <row r="147" spans="1:34">
      <c r="A147" s="112"/>
      <c r="B147" s="113"/>
      <c r="C147" s="113"/>
      <c r="D147" s="114">
        <f t="shared" si="50"/>
        <v>0</v>
      </c>
      <c r="E147" s="19" t="e">
        <f t="shared" si="51"/>
        <v>#DIV/0!</v>
      </c>
      <c r="F147" s="16"/>
      <c r="G147" s="16"/>
      <c r="H147" s="16"/>
      <c r="I147" s="16"/>
      <c r="J147" s="16"/>
      <c r="K147" s="16" t="e">
        <f t="shared" si="53"/>
        <v>#DIV/0!</v>
      </c>
      <c r="L147" s="16"/>
      <c r="M147" s="104"/>
      <c r="N147" s="104"/>
      <c r="O147" s="47"/>
      <c r="P147" s="17"/>
      <c r="Q147" s="62"/>
      <c r="R147" s="17"/>
      <c r="S147" s="45"/>
      <c r="T147" s="48"/>
      <c r="U147" s="48"/>
      <c r="V147" s="18">
        <f t="shared" si="52"/>
        <v>0</v>
      </c>
      <c r="W147" s="56" t="e">
        <f>IF(#REF!&gt;DATE(2010,9,30),ROUNDUP(ABS( V147/U147 ),3),ROUNDUP(ABS( (T147-T148)/T148 ),3))</f>
        <v>#REF!</v>
      </c>
      <c r="X147" s="49"/>
      <c r="Y147" s="49"/>
      <c r="Z147" s="49"/>
      <c r="AA147" s="49"/>
      <c r="AB147" s="16"/>
      <c r="AC147" s="46"/>
      <c r="AD147" s="46"/>
      <c r="AE147" s="50"/>
      <c r="AF147" s="51"/>
      <c r="AG147" s="62"/>
      <c r="AH147" s="17"/>
    </row>
    <row r="148" spans="1:34">
      <c r="A148" s="112"/>
      <c r="B148" s="113"/>
      <c r="C148" s="113"/>
      <c r="D148" s="114">
        <f t="shared" si="50"/>
        <v>0</v>
      </c>
      <c r="E148" s="19" t="e">
        <f t="shared" si="51"/>
        <v>#DIV/0!</v>
      </c>
      <c r="F148" s="16"/>
      <c r="G148" s="16"/>
      <c r="H148" s="16"/>
      <c r="I148" s="16"/>
      <c r="J148" s="16"/>
      <c r="K148" s="16" t="e">
        <f t="shared" si="53"/>
        <v>#DIV/0!</v>
      </c>
      <c r="L148" s="16"/>
      <c r="M148" s="104"/>
      <c r="N148" s="104"/>
      <c r="O148" s="47"/>
      <c r="P148" s="17"/>
      <c r="Q148" s="62"/>
      <c r="R148" s="17"/>
      <c r="S148" s="45"/>
      <c r="T148" s="48"/>
      <c r="U148" s="48"/>
      <c r="V148" s="18">
        <f t="shared" si="52"/>
        <v>0</v>
      </c>
      <c r="W148" s="56" t="e">
        <f>IF(#REF!&gt;DATE(2010,9,30),ROUNDUP(ABS( V148/U148 ),3),ROUNDUP(ABS( (T148-T149)/T149 ),3))</f>
        <v>#REF!</v>
      </c>
      <c r="X148" s="49"/>
      <c r="Y148" s="49"/>
      <c r="Z148" s="49"/>
      <c r="AA148" s="49"/>
      <c r="AB148" s="16"/>
      <c r="AC148" s="46"/>
      <c r="AD148" s="46"/>
      <c r="AE148" s="50"/>
      <c r="AF148" s="51"/>
      <c r="AG148" s="62"/>
      <c r="AH148" s="17"/>
    </row>
    <row r="149" spans="1:34">
      <c r="A149" s="112"/>
      <c r="B149" s="113"/>
      <c r="C149" s="113"/>
      <c r="D149" s="114">
        <f t="shared" si="50"/>
        <v>0</v>
      </c>
      <c r="E149" s="19" t="e">
        <f t="shared" si="51"/>
        <v>#DIV/0!</v>
      </c>
      <c r="F149" s="16"/>
      <c r="G149" s="16"/>
      <c r="H149" s="16"/>
      <c r="I149" s="16"/>
      <c r="J149" s="16"/>
      <c r="K149" s="16" t="e">
        <f t="shared" si="53"/>
        <v>#DIV/0!</v>
      </c>
      <c r="L149" s="16"/>
      <c r="M149" s="104"/>
      <c r="N149" s="104"/>
      <c r="O149" s="47"/>
      <c r="P149" s="17"/>
      <c r="Q149" s="62"/>
      <c r="R149" s="17"/>
      <c r="S149" s="45"/>
      <c r="T149" s="48"/>
      <c r="U149" s="48"/>
      <c r="V149" s="18">
        <f t="shared" si="52"/>
        <v>0</v>
      </c>
      <c r="W149" s="56" t="e">
        <f>IF(#REF!&gt;DATE(2010,9,30),ROUNDUP(ABS( V149/U149 ),3),ROUNDUP(ABS( (T149-T150)/T150 ),3))</f>
        <v>#REF!</v>
      </c>
      <c r="X149" s="49"/>
      <c r="Y149" s="49"/>
      <c r="Z149" s="49"/>
      <c r="AA149" s="49"/>
      <c r="AB149" s="16"/>
      <c r="AC149" s="46"/>
      <c r="AD149" s="46"/>
      <c r="AE149" s="50"/>
      <c r="AF149" s="51"/>
      <c r="AG149" s="62"/>
      <c r="AH149" s="17"/>
    </row>
    <row r="150" spans="1:34">
      <c r="A150" s="112"/>
      <c r="B150" s="113"/>
      <c r="C150" s="113"/>
      <c r="D150" s="114">
        <f t="shared" si="50"/>
        <v>0</v>
      </c>
      <c r="E150" s="19" t="e">
        <f t="shared" si="51"/>
        <v>#DIV/0!</v>
      </c>
      <c r="F150" s="16"/>
      <c r="G150" s="16"/>
      <c r="H150" s="16"/>
      <c r="I150" s="16"/>
      <c r="J150" s="16"/>
      <c r="K150" s="16" t="e">
        <f t="shared" si="53"/>
        <v>#DIV/0!</v>
      </c>
      <c r="L150" s="16"/>
      <c r="M150" s="104"/>
      <c r="N150" s="104"/>
      <c r="O150" s="47"/>
      <c r="P150" s="17"/>
      <c r="Q150" s="62"/>
      <c r="R150" s="17"/>
      <c r="S150" s="45"/>
      <c r="T150" s="48"/>
      <c r="U150" s="48"/>
      <c r="V150" s="18">
        <f t="shared" si="52"/>
        <v>0</v>
      </c>
      <c r="W150" s="56" t="e">
        <f>IF(#REF!&gt;DATE(2010,9,30),ROUNDUP(ABS( V150/U150 ),3),ROUNDUP(ABS( (T150-T151)/T151 ),3))</f>
        <v>#REF!</v>
      </c>
      <c r="X150" s="49"/>
      <c r="Y150" s="49"/>
      <c r="Z150" s="49"/>
      <c r="AA150" s="49"/>
      <c r="AB150" s="16"/>
      <c r="AC150" s="46"/>
      <c r="AD150" s="46"/>
      <c r="AE150" s="50"/>
      <c r="AF150" s="51"/>
      <c r="AG150" s="62"/>
      <c r="AH150" s="17"/>
    </row>
    <row r="151" spans="1:34">
      <c r="A151" s="112"/>
      <c r="B151" s="113"/>
      <c r="C151" s="113"/>
      <c r="D151" s="114">
        <f t="shared" si="50"/>
        <v>0</v>
      </c>
      <c r="E151" s="19" t="e">
        <f t="shared" si="51"/>
        <v>#DIV/0!</v>
      </c>
      <c r="F151" s="16"/>
      <c r="G151" s="16"/>
      <c r="H151" s="16"/>
      <c r="I151" s="16"/>
      <c r="J151" s="16"/>
      <c r="K151" s="16" t="e">
        <f t="shared" si="53"/>
        <v>#DIV/0!</v>
      </c>
      <c r="L151" s="16"/>
      <c r="M151" s="104"/>
      <c r="N151" s="104"/>
      <c r="O151" s="47"/>
      <c r="P151" s="17"/>
      <c r="Q151" s="62"/>
      <c r="R151" s="17"/>
      <c r="S151" s="45"/>
      <c r="T151" s="48"/>
      <c r="U151" s="48"/>
      <c r="V151" s="18">
        <f t="shared" si="52"/>
        <v>0</v>
      </c>
      <c r="W151" s="56" t="e">
        <f>IF(#REF!&gt;DATE(2010,9,30),ROUNDUP(ABS( V151/U151 ),3),ROUNDUP(ABS( (T151-T152)/T152 ),3))</f>
        <v>#REF!</v>
      </c>
      <c r="X151" s="49"/>
      <c r="Y151" s="49"/>
      <c r="Z151" s="49"/>
      <c r="AA151" s="49"/>
      <c r="AB151" s="16"/>
      <c r="AC151" s="46"/>
      <c r="AD151" s="46"/>
      <c r="AE151" s="50"/>
      <c r="AF151" s="51"/>
      <c r="AG151" s="62"/>
      <c r="AH151" s="17"/>
    </row>
    <row r="152" spans="1:34">
      <c r="A152" s="112"/>
      <c r="B152" s="113"/>
      <c r="C152" s="113"/>
      <c r="D152" s="114">
        <f t="shared" si="50"/>
        <v>0</v>
      </c>
      <c r="E152" s="19" t="e">
        <f t="shared" si="51"/>
        <v>#DIV/0!</v>
      </c>
      <c r="F152" s="16"/>
      <c r="G152" s="16"/>
      <c r="H152" s="16"/>
      <c r="I152" s="16"/>
      <c r="J152" s="16"/>
      <c r="K152" s="16" t="e">
        <f t="shared" si="53"/>
        <v>#DIV/0!</v>
      </c>
      <c r="L152" s="16"/>
      <c r="M152" s="104"/>
      <c r="N152" s="104"/>
      <c r="O152" s="47"/>
      <c r="P152" s="17"/>
      <c r="Q152" s="62"/>
      <c r="R152" s="17"/>
      <c r="S152" s="45"/>
      <c r="T152" s="48"/>
      <c r="U152" s="48"/>
      <c r="V152" s="18">
        <f t="shared" si="52"/>
        <v>0</v>
      </c>
      <c r="W152" s="56" t="e">
        <f>IF(#REF!&gt;DATE(2010,9,30),ROUNDUP(ABS( V152/U152 ),3),ROUNDUP(ABS( (T152-T153)/T153 ),3))</f>
        <v>#REF!</v>
      </c>
      <c r="X152" s="49"/>
      <c r="Y152" s="49"/>
      <c r="Z152" s="49"/>
      <c r="AA152" s="49"/>
      <c r="AB152" s="16"/>
      <c r="AC152" s="46"/>
      <c r="AD152" s="46"/>
      <c r="AE152" s="50"/>
      <c r="AF152" s="51"/>
      <c r="AG152" s="62"/>
      <c r="AH152" s="17"/>
    </row>
    <row r="153" spans="1:34">
      <c r="A153" s="112"/>
      <c r="B153" s="113"/>
      <c r="C153" s="113"/>
      <c r="D153" s="114">
        <f t="shared" si="50"/>
        <v>0</v>
      </c>
      <c r="E153" s="19" t="e">
        <f t="shared" si="51"/>
        <v>#DIV/0!</v>
      </c>
      <c r="F153" s="16"/>
      <c r="G153" s="16"/>
      <c r="H153" s="16"/>
      <c r="I153" s="16"/>
      <c r="J153" s="16"/>
      <c r="K153" s="16" t="e">
        <f t="shared" si="53"/>
        <v>#DIV/0!</v>
      </c>
      <c r="L153" s="16"/>
      <c r="M153" s="104"/>
      <c r="N153" s="104"/>
      <c r="O153" s="47"/>
      <c r="P153" s="17"/>
      <c r="Q153" s="62"/>
      <c r="R153" s="17"/>
      <c r="S153" s="45"/>
      <c r="T153" s="48"/>
      <c r="U153" s="48"/>
      <c r="V153" s="18">
        <f t="shared" si="52"/>
        <v>0</v>
      </c>
      <c r="W153" s="56" t="e">
        <f>IF(#REF!&gt;DATE(2010,9,30),ROUNDUP(ABS( V153/U153 ),3),ROUNDUP(ABS( (T153-T154)/T154 ),3))</f>
        <v>#REF!</v>
      </c>
      <c r="X153" s="49"/>
      <c r="Y153" s="49"/>
      <c r="Z153" s="49"/>
      <c r="AA153" s="49"/>
      <c r="AB153" s="16"/>
      <c r="AC153" s="46"/>
      <c r="AD153" s="46"/>
      <c r="AE153" s="50"/>
      <c r="AF153" s="51"/>
      <c r="AG153" s="62"/>
      <c r="AH153" s="17"/>
    </row>
    <row r="154" spans="1:34">
      <c r="A154" s="112"/>
      <c r="B154" s="113"/>
      <c r="C154" s="113"/>
      <c r="D154" s="114">
        <f t="shared" si="50"/>
        <v>0</v>
      </c>
      <c r="E154" s="19" t="e">
        <f t="shared" si="51"/>
        <v>#DIV/0!</v>
      </c>
      <c r="F154" s="16"/>
      <c r="G154" s="16"/>
      <c r="H154" s="16"/>
      <c r="I154" s="16"/>
      <c r="J154" s="16"/>
      <c r="K154" s="16" t="e">
        <f t="shared" si="53"/>
        <v>#DIV/0!</v>
      </c>
      <c r="L154" s="16"/>
      <c r="M154" s="104"/>
      <c r="N154" s="104"/>
      <c r="O154" s="47"/>
      <c r="P154" s="17"/>
      <c r="Q154" s="62"/>
      <c r="R154" s="17"/>
      <c r="S154" s="45"/>
      <c r="T154" s="48"/>
      <c r="U154" s="48"/>
      <c r="V154" s="18">
        <f t="shared" si="52"/>
        <v>0</v>
      </c>
      <c r="W154" s="56" t="e">
        <f>IF(#REF!&gt;DATE(2010,9,30),ROUNDUP(ABS( V154/U154 ),3),ROUNDUP(ABS( (T154-T155)/T155 ),3))</f>
        <v>#REF!</v>
      </c>
      <c r="X154" s="49"/>
      <c r="Y154" s="49"/>
      <c r="Z154" s="49"/>
      <c r="AA154" s="49"/>
      <c r="AB154" s="16"/>
      <c r="AC154" s="46"/>
      <c r="AD154" s="46"/>
      <c r="AE154" s="50"/>
      <c r="AF154" s="51"/>
      <c r="AG154" s="62"/>
      <c r="AH154" s="17"/>
    </row>
    <row r="155" spans="1:34">
      <c r="A155" s="112"/>
      <c r="B155" s="113"/>
      <c r="C155" s="113"/>
      <c r="D155" s="114">
        <f t="shared" si="50"/>
        <v>0</v>
      </c>
      <c r="E155" s="19" t="e">
        <f t="shared" si="51"/>
        <v>#DIV/0!</v>
      </c>
      <c r="F155" s="16"/>
      <c r="G155" s="16"/>
      <c r="H155" s="16"/>
      <c r="I155" s="16"/>
      <c r="J155" s="16"/>
      <c r="K155" s="16" t="e">
        <f t="shared" si="53"/>
        <v>#DIV/0!</v>
      </c>
      <c r="L155" s="16"/>
      <c r="M155" s="104"/>
      <c r="N155" s="104"/>
      <c r="O155" s="47"/>
      <c r="P155" s="17"/>
      <c r="Q155" s="62"/>
      <c r="R155" s="17"/>
      <c r="S155" s="45"/>
      <c r="T155" s="48"/>
      <c r="U155" s="48"/>
      <c r="V155" s="18">
        <f t="shared" si="52"/>
        <v>0</v>
      </c>
      <c r="W155" s="56" t="e">
        <f>IF(#REF!&gt;DATE(2010,9,30),ROUNDUP(ABS( V155/U155 ),3),ROUNDUP(ABS( (T155-T156)/T156 ),3))</f>
        <v>#REF!</v>
      </c>
      <c r="X155" s="49"/>
      <c r="Y155" s="49"/>
      <c r="Z155" s="49"/>
      <c r="AA155" s="49"/>
      <c r="AB155" s="16"/>
      <c r="AC155" s="46"/>
      <c r="AD155" s="46"/>
      <c r="AE155" s="50"/>
      <c r="AF155" s="51"/>
      <c r="AG155" s="62"/>
      <c r="AH155" s="17"/>
    </row>
    <row r="156" spans="1:34">
      <c r="A156" s="112"/>
      <c r="B156" s="113"/>
      <c r="C156" s="113"/>
      <c r="D156" s="114">
        <f t="shared" si="50"/>
        <v>0</v>
      </c>
      <c r="E156" s="19" t="e">
        <f t="shared" si="51"/>
        <v>#DIV/0!</v>
      </c>
      <c r="F156" s="16"/>
      <c r="G156" s="16"/>
      <c r="H156" s="16"/>
      <c r="I156" s="16"/>
      <c r="J156" s="16"/>
      <c r="K156" s="16" t="e">
        <f t="shared" si="53"/>
        <v>#DIV/0!</v>
      </c>
      <c r="L156" s="16"/>
      <c r="M156" s="104"/>
      <c r="N156" s="104"/>
      <c r="O156" s="47"/>
      <c r="P156" s="17"/>
      <c r="Q156" s="62"/>
      <c r="R156" s="17"/>
      <c r="S156" s="45"/>
      <c r="T156" s="48"/>
      <c r="U156" s="48"/>
      <c r="V156" s="18">
        <f t="shared" si="52"/>
        <v>0</v>
      </c>
      <c r="W156" s="56" t="e">
        <f>IF(#REF!&gt;DATE(2010,9,30),ROUNDUP(ABS( V156/U156 ),3),ROUNDUP(ABS( (T156-T157)/T157 ),3))</f>
        <v>#REF!</v>
      </c>
      <c r="X156" s="49"/>
      <c r="Y156" s="49"/>
      <c r="Z156" s="49"/>
      <c r="AA156" s="49"/>
      <c r="AB156" s="16"/>
      <c r="AC156" s="46"/>
      <c r="AD156" s="46"/>
      <c r="AE156" s="50"/>
      <c r="AF156" s="51"/>
      <c r="AG156" s="62"/>
      <c r="AH156" s="17"/>
    </row>
    <row r="157" spans="1:34">
      <c r="A157" s="112"/>
      <c r="B157" s="113"/>
      <c r="C157" s="113"/>
      <c r="D157" s="114">
        <f t="shared" si="50"/>
        <v>0</v>
      </c>
      <c r="E157" s="19" t="e">
        <f t="shared" si="51"/>
        <v>#DIV/0!</v>
      </c>
      <c r="F157" s="16"/>
      <c r="G157" s="16"/>
      <c r="H157" s="16"/>
      <c r="I157" s="16"/>
      <c r="J157" s="16"/>
      <c r="K157" s="16" t="e">
        <f t="shared" si="53"/>
        <v>#DIV/0!</v>
      </c>
      <c r="L157" s="16"/>
      <c r="M157" s="104"/>
      <c r="N157" s="104"/>
      <c r="O157" s="47"/>
      <c r="P157" s="17"/>
      <c r="Q157" s="62"/>
      <c r="R157" s="17"/>
      <c r="S157" s="45"/>
      <c r="T157" s="48"/>
      <c r="U157" s="48"/>
      <c r="V157" s="18">
        <f t="shared" si="52"/>
        <v>0</v>
      </c>
      <c r="W157" s="56" t="e">
        <f>IF(#REF!&gt;DATE(2010,9,30),ROUNDUP(ABS( V157/U157 ),3),ROUNDUP(ABS( (T157-T158)/T158 ),3))</f>
        <v>#REF!</v>
      </c>
      <c r="X157" s="49"/>
      <c r="Y157" s="49"/>
      <c r="Z157" s="49"/>
      <c r="AA157" s="49"/>
      <c r="AB157" s="16"/>
      <c r="AC157" s="46"/>
      <c r="AD157" s="46"/>
      <c r="AE157" s="50"/>
      <c r="AF157" s="51"/>
      <c r="AG157" s="62"/>
      <c r="AH157" s="17"/>
    </row>
    <row r="158" spans="1:34">
      <c r="A158" s="112"/>
      <c r="B158" s="113"/>
      <c r="C158" s="113"/>
      <c r="D158" s="114">
        <f t="shared" si="50"/>
        <v>0</v>
      </c>
      <c r="E158" s="19" t="e">
        <f t="shared" si="51"/>
        <v>#DIV/0!</v>
      </c>
      <c r="F158" s="16"/>
      <c r="G158" s="16"/>
      <c r="H158" s="16"/>
      <c r="I158" s="16"/>
      <c r="J158" s="16"/>
      <c r="K158" s="16" t="e">
        <f t="shared" si="53"/>
        <v>#DIV/0!</v>
      </c>
      <c r="L158" s="16"/>
      <c r="M158" s="104"/>
      <c r="N158" s="104"/>
      <c r="O158" s="47"/>
      <c r="P158" s="17"/>
      <c r="Q158" s="62"/>
      <c r="R158" s="17"/>
      <c r="S158" s="45"/>
      <c r="T158" s="48"/>
      <c r="U158" s="48"/>
      <c r="V158" s="18">
        <f t="shared" si="52"/>
        <v>0</v>
      </c>
      <c r="W158" s="56" t="e">
        <f>IF(#REF!&gt;DATE(2010,9,30),ROUNDUP(ABS( V158/U158 ),3),ROUNDUP(ABS( (T158-T159)/T159 ),3))</f>
        <v>#REF!</v>
      </c>
      <c r="X158" s="49"/>
      <c r="Y158" s="49"/>
      <c r="Z158" s="49"/>
      <c r="AA158" s="49"/>
      <c r="AB158" s="16"/>
      <c r="AC158" s="46"/>
      <c r="AD158" s="46"/>
      <c r="AE158" s="50"/>
      <c r="AF158" s="51"/>
      <c r="AG158" s="62"/>
      <c r="AH158" s="17"/>
    </row>
    <row r="159" spans="1:34">
      <c r="A159" s="112"/>
      <c r="B159" s="113"/>
      <c r="C159" s="113"/>
      <c r="D159" s="114">
        <f t="shared" si="50"/>
        <v>0</v>
      </c>
      <c r="E159" s="19" t="e">
        <f t="shared" si="51"/>
        <v>#DIV/0!</v>
      </c>
      <c r="F159" s="16"/>
      <c r="G159" s="16"/>
      <c r="H159" s="16"/>
      <c r="I159" s="16"/>
      <c r="J159" s="16"/>
      <c r="K159" s="16" t="e">
        <f t="shared" si="53"/>
        <v>#DIV/0!</v>
      </c>
      <c r="L159" s="16"/>
      <c r="M159" s="104"/>
      <c r="N159" s="104"/>
      <c r="O159" s="47"/>
      <c r="P159" s="17"/>
      <c r="Q159" s="62"/>
      <c r="R159" s="17"/>
      <c r="S159" s="45"/>
      <c r="T159" s="48"/>
      <c r="U159" s="48"/>
      <c r="V159" s="18">
        <f t="shared" si="52"/>
        <v>0</v>
      </c>
      <c r="W159" s="56" t="e">
        <f>IF(#REF!&gt;DATE(2010,9,30),ROUNDUP(ABS( V159/U159 ),3),ROUNDUP(ABS( (T159-T160)/T160 ),3))</f>
        <v>#REF!</v>
      </c>
      <c r="X159" s="49"/>
      <c r="Y159" s="49"/>
      <c r="Z159" s="49"/>
      <c r="AA159" s="49"/>
      <c r="AB159" s="16"/>
      <c r="AC159" s="46"/>
      <c r="AD159" s="46"/>
      <c r="AE159" s="50"/>
      <c r="AF159" s="51"/>
      <c r="AG159" s="62"/>
      <c r="AH159" s="17"/>
    </row>
    <row r="160" spans="1:34">
      <c r="A160" s="112"/>
      <c r="B160" s="113"/>
      <c r="C160" s="113"/>
      <c r="D160" s="114">
        <f t="shared" si="50"/>
        <v>0</v>
      </c>
      <c r="E160" s="19" t="e">
        <f t="shared" si="51"/>
        <v>#DIV/0!</v>
      </c>
      <c r="F160" s="16"/>
      <c r="G160" s="16"/>
      <c r="H160" s="16"/>
      <c r="I160" s="16"/>
      <c r="J160" s="16"/>
      <c r="K160" s="16" t="e">
        <f t="shared" si="53"/>
        <v>#DIV/0!</v>
      </c>
      <c r="L160" s="16"/>
      <c r="M160" s="104"/>
      <c r="N160" s="104"/>
      <c r="O160" s="47"/>
      <c r="P160" s="17"/>
      <c r="Q160" s="62"/>
      <c r="R160" s="17"/>
      <c r="S160" s="45"/>
      <c r="T160" s="48"/>
      <c r="U160" s="48"/>
      <c r="V160" s="18">
        <f t="shared" si="52"/>
        <v>0</v>
      </c>
      <c r="W160" s="56" t="e">
        <f>IF(#REF!&gt;DATE(2010,9,30),ROUNDUP(ABS( V160/U160 ),3),ROUNDUP(ABS( (T160-T161)/T161 ),3))</f>
        <v>#REF!</v>
      </c>
      <c r="X160" s="49"/>
      <c r="Y160" s="49"/>
      <c r="Z160" s="49"/>
      <c r="AA160" s="49"/>
      <c r="AB160" s="16"/>
      <c r="AC160" s="46"/>
      <c r="AD160" s="46"/>
      <c r="AE160" s="50"/>
      <c r="AF160" s="51"/>
      <c r="AG160" s="62"/>
      <c r="AH160" s="17"/>
    </row>
    <row r="161" spans="1:34">
      <c r="A161" s="112"/>
      <c r="B161" s="113"/>
      <c r="C161" s="113"/>
      <c r="D161" s="114">
        <f t="shared" si="50"/>
        <v>0</v>
      </c>
      <c r="E161" s="19" t="e">
        <f t="shared" si="51"/>
        <v>#DIV/0!</v>
      </c>
      <c r="F161" s="16"/>
      <c r="G161" s="16"/>
      <c r="H161" s="16"/>
      <c r="I161" s="16"/>
      <c r="J161" s="16"/>
      <c r="K161" s="16" t="e">
        <f t="shared" si="53"/>
        <v>#DIV/0!</v>
      </c>
      <c r="L161" s="16"/>
      <c r="M161" s="104"/>
      <c r="N161" s="104"/>
      <c r="O161" s="47"/>
      <c r="P161" s="17"/>
      <c r="Q161" s="62"/>
      <c r="R161" s="17"/>
      <c r="S161" s="45"/>
      <c r="T161" s="48"/>
      <c r="U161" s="48"/>
      <c r="V161" s="18">
        <f t="shared" si="52"/>
        <v>0</v>
      </c>
      <c r="W161" s="56" t="e">
        <f>IF(#REF!&gt;DATE(2010,9,30),ROUNDUP(ABS( V161/U161 ),3),ROUNDUP(ABS( (T161-T162)/T162 ),3))</f>
        <v>#REF!</v>
      </c>
      <c r="X161" s="49"/>
      <c r="Y161" s="49"/>
      <c r="Z161" s="49"/>
      <c r="AA161" s="49"/>
      <c r="AB161" s="16"/>
      <c r="AC161" s="46"/>
      <c r="AD161" s="46"/>
      <c r="AE161" s="50"/>
      <c r="AF161" s="51"/>
      <c r="AG161" s="62"/>
      <c r="AH161" s="17"/>
    </row>
    <row r="162" spans="1:34">
      <c r="A162" s="112"/>
      <c r="B162" s="113"/>
      <c r="C162" s="113"/>
      <c r="D162" s="114">
        <f t="shared" si="50"/>
        <v>0</v>
      </c>
      <c r="E162" s="19" t="e">
        <f t="shared" si="51"/>
        <v>#DIV/0!</v>
      </c>
      <c r="F162" s="16"/>
      <c r="G162" s="16"/>
      <c r="H162" s="16"/>
      <c r="I162" s="16"/>
      <c r="J162" s="16"/>
      <c r="K162" s="16" t="e">
        <f t="shared" si="53"/>
        <v>#DIV/0!</v>
      </c>
      <c r="L162" s="16"/>
      <c r="M162" s="104"/>
      <c r="N162" s="104"/>
      <c r="O162" s="47"/>
      <c r="P162" s="17"/>
      <c r="Q162" s="62"/>
      <c r="R162" s="17"/>
      <c r="S162" s="45"/>
      <c r="T162" s="48"/>
      <c r="U162" s="48"/>
      <c r="V162" s="18">
        <f t="shared" si="52"/>
        <v>0</v>
      </c>
      <c r="W162" s="56" t="e">
        <f>IF(#REF!&gt;DATE(2010,9,30),ROUNDUP(ABS( V162/U162 ),3),ROUNDUP(ABS( (T162-T163)/T163 ),3))</f>
        <v>#REF!</v>
      </c>
      <c r="X162" s="49"/>
      <c r="Y162" s="49"/>
      <c r="Z162" s="49"/>
      <c r="AA162" s="49"/>
      <c r="AB162" s="16"/>
      <c r="AC162" s="46"/>
      <c r="AD162" s="46"/>
      <c r="AE162" s="50"/>
      <c r="AF162" s="51"/>
      <c r="AG162" s="62"/>
      <c r="AH162" s="17"/>
    </row>
    <row r="163" spans="1:34">
      <c r="A163" s="112"/>
      <c r="B163" s="113"/>
      <c r="C163" s="113"/>
      <c r="D163" s="114">
        <f t="shared" si="50"/>
        <v>0</v>
      </c>
      <c r="E163" s="19" t="e">
        <f t="shared" si="51"/>
        <v>#DIV/0!</v>
      </c>
      <c r="F163" s="16"/>
      <c r="G163" s="16"/>
      <c r="H163" s="16"/>
      <c r="I163" s="16"/>
      <c r="J163" s="16"/>
      <c r="K163" s="16" t="e">
        <f t="shared" si="53"/>
        <v>#DIV/0!</v>
      </c>
      <c r="L163" s="16"/>
      <c r="M163" s="104"/>
      <c r="N163" s="104"/>
      <c r="O163" s="47"/>
      <c r="P163" s="17"/>
      <c r="Q163" s="62"/>
      <c r="R163" s="17"/>
      <c r="S163" s="45"/>
      <c r="T163" s="48"/>
      <c r="U163" s="48"/>
      <c r="V163" s="18">
        <f t="shared" si="52"/>
        <v>0</v>
      </c>
      <c r="W163" s="56" t="e">
        <f>IF(#REF!&gt;DATE(2010,9,30),ROUNDUP(ABS( V163/U163 ),3),ROUNDUP(ABS( (T163-T164)/T164 ),3))</f>
        <v>#REF!</v>
      </c>
      <c r="X163" s="49"/>
      <c r="Y163" s="49"/>
      <c r="Z163" s="49"/>
      <c r="AA163" s="49"/>
      <c r="AB163" s="16"/>
      <c r="AC163" s="46"/>
      <c r="AD163" s="46"/>
      <c r="AE163" s="50"/>
      <c r="AF163" s="51"/>
      <c r="AG163" s="62"/>
      <c r="AH163" s="17"/>
    </row>
    <row r="164" spans="1:34">
      <c r="A164" s="112"/>
      <c r="B164" s="113"/>
      <c r="C164" s="113"/>
      <c r="D164" s="114">
        <f t="shared" si="50"/>
        <v>0</v>
      </c>
      <c r="E164" s="19" t="e">
        <f t="shared" si="51"/>
        <v>#DIV/0!</v>
      </c>
      <c r="F164" s="16"/>
      <c r="G164" s="16"/>
      <c r="H164" s="16"/>
      <c r="I164" s="16"/>
      <c r="J164" s="16"/>
      <c r="K164" s="16" t="e">
        <f t="shared" si="53"/>
        <v>#DIV/0!</v>
      </c>
      <c r="L164" s="16"/>
      <c r="M164" s="104"/>
      <c r="N164" s="104"/>
      <c r="O164" s="47"/>
      <c r="P164" s="17"/>
      <c r="Q164" s="62"/>
      <c r="R164" s="17"/>
      <c r="S164" s="45"/>
      <c r="T164" s="48"/>
      <c r="U164" s="48"/>
      <c r="V164" s="18">
        <f t="shared" si="52"/>
        <v>0</v>
      </c>
      <c r="W164" s="56" t="e">
        <f>IF(#REF!&gt;DATE(2010,9,30),ROUNDUP(ABS( V164/U164 ),3),ROUNDUP(ABS( (T164-T165)/T165 ),3))</f>
        <v>#REF!</v>
      </c>
      <c r="X164" s="49"/>
      <c r="Y164" s="49"/>
      <c r="Z164" s="49"/>
      <c r="AA164" s="49"/>
      <c r="AB164" s="16"/>
      <c r="AC164" s="46"/>
      <c r="AD164" s="46"/>
      <c r="AE164" s="50"/>
      <c r="AF164" s="51"/>
      <c r="AG164" s="62"/>
      <c r="AH164" s="17"/>
    </row>
    <row r="165" spans="1:34">
      <c r="A165" s="112"/>
      <c r="B165" s="113"/>
      <c r="C165" s="113"/>
      <c r="D165" s="114">
        <f t="shared" si="50"/>
        <v>0</v>
      </c>
      <c r="E165" s="19" t="e">
        <f t="shared" si="51"/>
        <v>#DIV/0!</v>
      </c>
      <c r="F165" s="16"/>
      <c r="G165" s="16"/>
      <c r="H165" s="16"/>
      <c r="I165" s="16"/>
      <c r="J165" s="16"/>
      <c r="K165" s="16" t="e">
        <f t="shared" si="53"/>
        <v>#DIV/0!</v>
      </c>
      <c r="L165" s="16"/>
      <c r="M165" s="104"/>
      <c r="N165" s="104"/>
      <c r="O165" s="47"/>
      <c r="P165" s="17"/>
      <c r="Q165" s="62"/>
      <c r="R165" s="17"/>
      <c r="S165" s="45"/>
      <c r="T165" s="48"/>
      <c r="U165" s="48"/>
      <c r="V165" s="18">
        <f t="shared" si="52"/>
        <v>0</v>
      </c>
      <c r="W165" s="56" t="e">
        <f>IF(#REF!&gt;DATE(2010,9,30),ROUNDUP(ABS( V165/U165 ),3),ROUNDUP(ABS( (T165-T166)/T166 ),3))</f>
        <v>#REF!</v>
      </c>
      <c r="X165" s="49"/>
      <c r="Y165" s="49"/>
      <c r="Z165" s="49"/>
      <c r="AA165" s="49"/>
      <c r="AB165" s="16"/>
      <c r="AC165" s="46"/>
      <c r="AD165" s="46"/>
      <c r="AE165" s="50"/>
      <c r="AF165" s="51"/>
      <c r="AG165" s="62"/>
      <c r="AH165" s="17"/>
    </row>
    <row r="166" spans="1:34">
      <c r="A166" s="112"/>
      <c r="B166" s="113"/>
      <c r="C166" s="113"/>
      <c r="D166" s="114">
        <f t="shared" si="50"/>
        <v>0</v>
      </c>
      <c r="E166" s="19" t="e">
        <f t="shared" si="51"/>
        <v>#DIV/0!</v>
      </c>
      <c r="F166" s="16"/>
      <c r="G166" s="16"/>
      <c r="H166" s="16"/>
      <c r="I166" s="16"/>
      <c r="J166" s="16"/>
      <c r="K166" s="16" t="e">
        <f t="shared" si="53"/>
        <v>#DIV/0!</v>
      </c>
      <c r="L166" s="16"/>
      <c r="M166" s="104"/>
      <c r="N166" s="104"/>
      <c r="O166" s="47"/>
      <c r="P166" s="17"/>
      <c r="Q166" s="62"/>
      <c r="R166" s="17"/>
      <c r="S166" s="45"/>
      <c r="T166" s="48"/>
      <c r="U166" s="48"/>
      <c r="V166" s="18">
        <f t="shared" si="52"/>
        <v>0</v>
      </c>
      <c r="W166" s="56" t="e">
        <f>IF(#REF!&gt;DATE(2010,9,30),ROUNDUP(ABS( V166/U166 ),3),ROUNDUP(ABS( (T166-T167)/T167 ),3))</f>
        <v>#REF!</v>
      </c>
      <c r="X166" s="49"/>
      <c r="Y166" s="49"/>
      <c r="Z166" s="49"/>
      <c r="AA166" s="49"/>
      <c r="AB166" s="16"/>
      <c r="AC166" s="46"/>
      <c r="AD166" s="46"/>
      <c r="AE166" s="50"/>
      <c r="AF166" s="51"/>
      <c r="AG166" s="62"/>
      <c r="AH166" s="17"/>
    </row>
    <row r="167" spans="1:34">
      <c r="A167" s="112"/>
      <c r="B167" s="113"/>
      <c r="C167" s="113"/>
      <c r="D167" s="114">
        <f t="shared" si="50"/>
        <v>0</v>
      </c>
      <c r="E167" s="19" t="e">
        <f t="shared" si="51"/>
        <v>#DIV/0!</v>
      </c>
      <c r="F167" s="16"/>
      <c r="G167" s="16"/>
      <c r="H167" s="16"/>
      <c r="I167" s="16"/>
      <c r="J167" s="16"/>
      <c r="K167" s="16" t="e">
        <f t="shared" si="53"/>
        <v>#DIV/0!</v>
      </c>
      <c r="L167" s="16"/>
      <c r="M167" s="104"/>
      <c r="N167" s="104"/>
      <c r="O167" s="47"/>
      <c r="P167" s="17"/>
      <c r="Q167" s="62"/>
      <c r="R167" s="17"/>
      <c r="S167" s="45"/>
      <c r="T167" s="48"/>
      <c r="U167" s="48"/>
      <c r="V167" s="18">
        <f t="shared" si="52"/>
        <v>0</v>
      </c>
      <c r="W167" s="56" t="e">
        <f>IF(#REF!&gt;DATE(2010,9,30),ROUNDUP(ABS( V167/U167 ),3),ROUNDUP(ABS( (T167-T168)/T168 ),3))</f>
        <v>#REF!</v>
      </c>
      <c r="X167" s="49"/>
      <c r="Y167" s="49"/>
      <c r="Z167" s="49"/>
      <c r="AA167" s="49"/>
      <c r="AB167" s="16"/>
      <c r="AC167" s="46"/>
      <c r="AD167" s="46"/>
      <c r="AE167" s="50"/>
      <c r="AF167" s="51"/>
      <c r="AG167" s="62"/>
      <c r="AH167" s="17"/>
    </row>
    <row r="168" spans="1:34" s="29" customFormat="1">
      <c r="A168" s="112"/>
      <c r="B168" s="113"/>
      <c r="C168" s="113"/>
      <c r="D168" s="114">
        <f t="shared" si="50"/>
        <v>0</v>
      </c>
      <c r="E168" s="19" t="e">
        <f t="shared" si="51"/>
        <v>#DIV/0!</v>
      </c>
      <c r="F168" s="16"/>
      <c r="G168" s="16"/>
      <c r="H168" s="16"/>
      <c r="I168" s="16"/>
      <c r="J168" s="16"/>
      <c r="K168" s="16" t="e">
        <f t="shared" si="53"/>
        <v>#DIV/0!</v>
      </c>
      <c r="L168" s="16"/>
      <c r="M168" s="104"/>
      <c r="N168" s="104"/>
      <c r="O168" s="47"/>
      <c r="P168" s="17"/>
      <c r="Q168" s="62"/>
      <c r="R168" s="17"/>
      <c r="S168" s="53"/>
      <c r="T168" s="48"/>
      <c r="U168" s="48"/>
      <c r="V168" s="18">
        <f t="shared" si="52"/>
        <v>0</v>
      </c>
      <c r="W168" s="56" t="e">
        <f>IF(#REF!&gt;DATE(2010,9,30),ROUNDUP(ABS( V168/U168 ),3),ROUNDUP(ABS( (T168-T169)/T169 ),3))</f>
        <v>#REF!</v>
      </c>
      <c r="X168" s="49"/>
      <c r="Y168" s="49"/>
      <c r="Z168" s="49"/>
      <c r="AA168" s="49"/>
      <c r="AB168" s="16"/>
      <c r="AC168" s="46"/>
      <c r="AD168" s="46"/>
      <c r="AE168" s="50"/>
      <c r="AF168" s="51"/>
      <c r="AG168" s="62"/>
      <c r="AH168" s="17"/>
    </row>
    <row r="169" spans="1:34">
      <c r="A169" s="112"/>
      <c r="B169" s="113"/>
      <c r="C169" s="113"/>
      <c r="D169" s="114">
        <f t="shared" si="50"/>
        <v>0</v>
      </c>
      <c r="E169" s="19" t="e">
        <f t="shared" si="51"/>
        <v>#DIV/0!</v>
      </c>
      <c r="F169" s="16"/>
      <c r="G169" s="16"/>
      <c r="H169" s="16"/>
      <c r="I169" s="16"/>
      <c r="J169" s="16"/>
      <c r="K169" s="16" t="e">
        <f t="shared" si="53"/>
        <v>#DIV/0!</v>
      </c>
      <c r="L169" s="16"/>
      <c r="M169" s="104"/>
      <c r="N169" s="104"/>
      <c r="O169" s="47"/>
      <c r="P169" s="17"/>
      <c r="Q169" s="62"/>
      <c r="R169" s="17"/>
      <c r="S169" s="45"/>
      <c r="T169" s="48"/>
      <c r="U169" s="48"/>
      <c r="V169" s="18">
        <f t="shared" si="52"/>
        <v>0</v>
      </c>
      <c r="W169" s="56" t="e">
        <f>IF(#REF!&gt;DATE(2010,9,30),ROUNDUP(ABS( V169/U169 ),3),ROUNDUP(ABS( (T169-T170)/T170 ),3))</f>
        <v>#REF!</v>
      </c>
      <c r="X169" s="49"/>
      <c r="Y169" s="49"/>
      <c r="Z169" s="49"/>
      <c r="AA169" s="49"/>
      <c r="AB169" s="16"/>
      <c r="AC169" s="46"/>
      <c r="AD169" s="46"/>
      <c r="AE169" s="50"/>
      <c r="AF169" s="51"/>
      <c r="AG169" s="62"/>
      <c r="AH169" s="17"/>
    </row>
    <row r="170" spans="1:34">
      <c r="A170" s="112"/>
      <c r="B170" s="113"/>
      <c r="C170" s="113"/>
      <c r="D170" s="114">
        <f t="shared" si="50"/>
        <v>0</v>
      </c>
      <c r="E170" s="19" t="e">
        <f t="shared" si="51"/>
        <v>#DIV/0!</v>
      </c>
      <c r="F170" s="16"/>
      <c r="G170" s="16"/>
      <c r="H170" s="16"/>
      <c r="I170" s="16"/>
      <c r="J170" s="16"/>
      <c r="K170" s="16" t="e">
        <f t="shared" si="53"/>
        <v>#DIV/0!</v>
      </c>
      <c r="L170" s="16"/>
      <c r="M170" s="104"/>
      <c r="N170" s="104"/>
      <c r="O170" s="47"/>
      <c r="P170" s="17"/>
      <c r="Q170" s="62"/>
      <c r="R170" s="17"/>
      <c r="S170" s="45"/>
      <c r="T170" s="48"/>
      <c r="U170" s="48"/>
      <c r="V170" s="18">
        <f t="shared" si="52"/>
        <v>0</v>
      </c>
      <c r="W170" s="56" t="e">
        <f>IF(#REF!&gt;DATE(2010,9,30),ROUNDUP(ABS( V170/U170 ),3),ROUNDUP(ABS( (T170-T171)/T171 ),3))</f>
        <v>#REF!</v>
      </c>
      <c r="X170" s="49"/>
      <c r="Y170" s="49"/>
      <c r="Z170" s="49"/>
      <c r="AA170" s="49"/>
      <c r="AB170" s="16"/>
      <c r="AC170" s="46"/>
      <c r="AD170" s="46"/>
      <c r="AE170" s="50"/>
      <c r="AF170" s="51"/>
      <c r="AG170" s="62"/>
      <c r="AH170" s="17"/>
    </row>
    <row r="171" spans="1:34">
      <c r="A171" s="112"/>
      <c r="B171" s="113"/>
      <c r="C171" s="113"/>
      <c r="D171" s="114">
        <f t="shared" si="50"/>
        <v>0</v>
      </c>
      <c r="E171" s="19" t="e">
        <f t="shared" si="51"/>
        <v>#DIV/0!</v>
      </c>
      <c r="F171" s="16"/>
      <c r="G171" s="16"/>
      <c r="H171" s="16"/>
      <c r="I171" s="16"/>
      <c r="J171" s="16"/>
      <c r="K171" s="16" t="e">
        <f t="shared" si="53"/>
        <v>#DIV/0!</v>
      </c>
      <c r="L171" s="16"/>
      <c r="M171" s="104"/>
      <c r="N171" s="104"/>
      <c r="O171" s="47"/>
      <c r="P171" s="17"/>
      <c r="Q171" s="62"/>
      <c r="R171" s="17"/>
      <c r="S171" s="45"/>
      <c r="T171" s="48"/>
      <c r="U171" s="48"/>
      <c r="V171" s="18">
        <f t="shared" si="52"/>
        <v>0</v>
      </c>
      <c r="W171" s="56" t="e">
        <f>IF(#REF!&gt;DATE(2010,9,30),ROUNDUP(ABS( V171/U171 ),3),ROUNDUP(ABS( (T171-T172)/T172 ),3))</f>
        <v>#REF!</v>
      </c>
      <c r="X171" s="49"/>
      <c r="Y171" s="49"/>
      <c r="Z171" s="49"/>
      <c r="AA171" s="49"/>
      <c r="AB171" s="16"/>
      <c r="AC171" s="46"/>
      <c r="AD171" s="46"/>
      <c r="AE171" s="50"/>
      <c r="AF171" s="51"/>
      <c r="AG171" s="62"/>
      <c r="AH171" s="17"/>
    </row>
    <row r="172" spans="1:34">
      <c r="A172" s="112"/>
      <c r="B172" s="113"/>
      <c r="C172" s="113"/>
      <c r="D172" s="114">
        <f t="shared" si="50"/>
        <v>0</v>
      </c>
      <c r="E172" s="19" t="e">
        <f t="shared" si="51"/>
        <v>#DIV/0!</v>
      </c>
      <c r="F172" s="16"/>
      <c r="G172" s="16"/>
      <c r="H172" s="16"/>
      <c r="I172" s="16"/>
      <c r="J172" s="16"/>
      <c r="K172" s="16" t="e">
        <f t="shared" si="53"/>
        <v>#DIV/0!</v>
      </c>
      <c r="L172" s="16"/>
      <c r="M172" s="104"/>
      <c r="N172" s="104"/>
      <c r="O172" s="47"/>
      <c r="P172" s="17"/>
      <c r="Q172" s="62"/>
      <c r="R172" s="17"/>
      <c r="S172" s="45"/>
      <c r="T172" s="48"/>
      <c r="U172" s="48"/>
      <c r="V172" s="18">
        <f t="shared" si="52"/>
        <v>0</v>
      </c>
      <c r="W172" s="56" t="e">
        <f>IF(#REF!&gt;DATE(2010,9,30),ROUNDUP(ABS( V172/U172 ),3),ROUNDUP(ABS( (T172-T173)/T173 ),3))</f>
        <v>#REF!</v>
      </c>
      <c r="X172" s="49"/>
      <c r="Y172" s="49"/>
      <c r="Z172" s="49"/>
      <c r="AA172" s="49"/>
      <c r="AB172" s="16"/>
      <c r="AC172" s="46"/>
      <c r="AD172" s="46"/>
      <c r="AE172" s="50"/>
      <c r="AF172" s="51"/>
      <c r="AG172" s="62"/>
      <c r="AH172" s="17"/>
    </row>
    <row r="173" spans="1:34">
      <c r="A173" s="112"/>
      <c r="B173" s="113"/>
      <c r="C173" s="113"/>
      <c r="D173" s="114">
        <f t="shared" si="50"/>
        <v>0</v>
      </c>
      <c r="E173" s="19" t="e">
        <f t="shared" si="51"/>
        <v>#DIV/0!</v>
      </c>
      <c r="F173" s="16"/>
      <c r="G173" s="16"/>
      <c r="H173" s="16"/>
      <c r="I173" s="16"/>
      <c r="J173" s="16"/>
      <c r="K173" s="16" t="e">
        <f t="shared" si="53"/>
        <v>#DIV/0!</v>
      </c>
      <c r="L173" s="16"/>
      <c r="M173" s="104"/>
      <c r="N173" s="104"/>
      <c r="O173" s="47"/>
      <c r="P173" s="17"/>
      <c r="Q173" s="62"/>
      <c r="R173" s="17"/>
      <c r="S173" s="45"/>
      <c r="T173" s="48"/>
      <c r="U173" s="48"/>
      <c r="V173" s="18">
        <f t="shared" si="52"/>
        <v>0</v>
      </c>
      <c r="W173" s="56" t="e">
        <f>IF(#REF!&gt;DATE(2010,9,30),ROUNDUP(ABS( V173/U173 ),3),ROUNDUP(ABS( (T173-T174)/T174 ),3))</f>
        <v>#REF!</v>
      </c>
      <c r="X173" s="49"/>
      <c r="Y173" s="49"/>
      <c r="Z173" s="49"/>
      <c r="AA173" s="49"/>
      <c r="AB173" s="16"/>
      <c r="AC173" s="46"/>
      <c r="AD173" s="46"/>
      <c r="AE173" s="50"/>
      <c r="AF173" s="51"/>
      <c r="AG173" s="62"/>
      <c r="AH173" s="17"/>
    </row>
    <row r="174" spans="1:34">
      <c r="A174" s="112"/>
      <c r="B174" s="113"/>
      <c r="C174" s="113"/>
      <c r="D174" s="114">
        <f t="shared" si="50"/>
        <v>0</v>
      </c>
      <c r="E174" s="19" t="e">
        <f t="shared" si="51"/>
        <v>#DIV/0!</v>
      </c>
      <c r="F174" s="16"/>
      <c r="G174" s="16"/>
      <c r="H174" s="16"/>
      <c r="I174" s="16"/>
      <c r="J174" s="16"/>
      <c r="K174" s="16" t="e">
        <f t="shared" si="53"/>
        <v>#DIV/0!</v>
      </c>
      <c r="L174" s="16"/>
      <c r="M174" s="104"/>
      <c r="N174" s="104"/>
      <c r="O174" s="47"/>
      <c r="P174" s="17"/>
      <c r="Q174" s="62"/>
      <c r="R174" s="17"/>
      <c r="S174" s="45"/>
      <c r="T174" s="48"/>
      <c r="U174" s="48"/>
      <c r="V174" s="18">
        <f t="shared" si="52"/>
        <v>0</v>
      </c>
      <c r="W174" s="56" t="e">
        <f>IF(#REF!&gt;DATE(2010,9,30),ROUNDUP(ABS( V174/U174 ),3),ROUNDUP(ABS( (T174-T175)/T175 ),3))</f>
        <v>#REF!</v>
      </c>
      <c r="X174" s="49"/>
      <c r="Y174" s="49"/>
      <c r="Z174" s="49"/>
      <c r="AA174" s="49"/>
      <c r="AB174" s="16"/>
      <c r="AC174" s="46"/>
      <c r="AD174" s="46"/>
      <c r="AE174" s="50"/>
      <c r="AF174" s="51"/>
      <c r="AG174" s="62"/>
      <c r="AH174" s="17"/>
    </row>
    <row r="175" spans="1:34">
      <c r="A175" s="112"/>
      <c r="B175" s="113"/>
      <c r="C175" s="113"/>
      <c r="D175" s="114">
        <f t="shared" si="50"/>
        <v>0</v>
      </c>
      <c r="E175" s="19" t="e">
        <f t="shared" si="51"/>
        <v>#DIV/0!</v>
      </c>
      <c r="F175" s="16"/>
      <c r="G175" s="16"/>
      <c r="H175" s="16"/>
      <c r="I175" s="16"/>
      <c r="J175" s="16"/>
      <c r="K175" s="16" t="e">
        <f t="shared" si="53"/>
        <v>#DIV/0!</v>
      </c>
      <c r="L175" s="16"/>
      <c r="M175" s="104"/>
      <c r="N175" s="104"/>
      <c r="O175" s="47"/>
      <c r="P175" s="17"/>
      <c r="Q175" s="62"/>
      <c r="R175" s="17"/>
      <c r="S175" s="45"/>
      <c r="T175" s="48"/>
      <c r="U175" s="48"/>
      <c r="V175" s="18">
        <f t="shared" si="52"/>
        <v>0</v>
      </c>
      <c r="W175" s="56" t="e">
        <f>IF(#REF!&gt;DATE(2010,9,30),ROUNDUP(ABS( V175/U175 ),3),ROUNDUP(ABS( (T175-T176)/T176 ),3))</f>
        <v>#REF!</v>
      </c>
      <c r="X175" s="49"/>
      <c r="Y175" s="49"/>
      <c r="Z175" s="49"/>
      <c r="AA175" s="49"/>
      <c r="AB175" s="16"/>
      <c r="AC175" s="46"/>
      <c r="AD175" s="46"/>
      <c r="AE175" s="50"/>
      <c r="AF175" s="51"/>
      <c r="AG175" s="62"/>
      <c r="AH175" s="17"/>
    </row>
    <row r="176" spans="1:34">
      <c r="A176" s="112"/>
      <c r="B176" s="113"/>
      <c r="C176" s="113"/>
      <c r="D176" s="114">
        <f t="shared" si="50"/>
        <v>0</v>
      </c>
      <c r="E176" s="19" t="e">
        <f t="shared" si="51"/>
        <v>#DIV/0!</v>
      </c>
      <c r="F176" s="16"/>
      <c r="G176" s="16"/>
      <c r="H176" s="16"/>
      <c r="I176" s="16"/>
      <c r="J176" s="16"/>
      <c r="K176" s="16" t="e">
        <f t="shared" si="53"/>
        <v>#DIV/0!</v>
      </c>
      <c r="L176" s="16"/>
      <c r="M176" s="104"/>
      <c r="N176" s="104"/>
      <c r="O176" s="47"/>
      <c r="P176" s="17"/>
      <c r="Q176" s="62"/>
      <c r="R176" s="17"/>
      <c r="S176" s="45"/>
      <c r="T176" s="48"/>
      <c r="U176" s="48"/>
      <c r="V176" s="18">
        <f t="shared" si="52"/>
        <v>0</v>
      </c>
      <c r="W176" s="56" t="e">
        <f>IF(#REF!&gt;DATE(2010,9,30),ROUNDUP(ABS( V176/U176 ),3),ROUNDUP(ABS( (T176-T177)/T177 ),3))</f>
        <v>#REF!</v>
      </c>
      <c r="X176" s="49"/>
      <c r="Y176" s="49"/>
      <c r="Z176" s="49"/>
      <c r="AA176" s="49"/>
      <c r="AB176" s="16"/>
      <c r="AC176" s="46"/>
      <c r="AD176" s="46"/>
      <c r="AE176" s="50"/>
      <c r="AF176" s="51"/>
      <c r="AG176" s="62"/>
      <c r="AH176" s="17"/>
    </row>
    <row r="177" spans="1:34">
      <c r="A177" s="112"/>
      <c r="B177" s="113"/>
      <c r="C177" s="113"/>
      <c r="D177" s="114">
        <f t="shared" si="50"/>
        <v>0</v>
      </c>
      <c r="E177" s="19" t="e">
        <f t="shared" si="51"/>
        <v>#DIV/0!</v>
      </c>
      <c r="F177" s="16"/>
      <c r="G177" s="16"/>
      <c r="H177" s="16"/>
      <c r="I177" s="16"/>
      <c r="J177" s="16"/>
      <c r="K177" s="16" t="e">
        <f t="shared" si="53"/>
        <v>#DIV/0!</v>
      </c>
      <c r="L177" s="16"/>
      <c r="M177" s="104"/>
      <c r="N177" s="104"/>
      <c r="O177" s="47"/>
      <c r="P177" s="17"/>
      <c r="Q177" s="62"/>
      <c r="R177" s="17"/>
      <c r="S177" s="45"/>
      <c r="T177" s="48"/>
      <c r="U177" s="48"/>
      <c r="V177" s="18">
        <f t="shared" si="52"/>
        <v>0</v>
      </c>
      <c r="W177" s="56" t="e">
        <f>IF(#REF!&gt;DATE(2010,9,30),ROUNDUP(ABS( V177/U177 ),3),ROUNDUP(ABS( (T177-T178)/T178 ),3))</f>
        <v>#REF!</v>
      </c>
      <c r="X177" s="49"/>
      <c r="Y177" s="49"/>
      <c r="Z177" s="49"/>
      <c r="AA177" s="49"/>
      <c r="AB177" s="16"/>
      <c r="AC177" s="46"/>
      <c r="AD177" s="46"/>
      <c r="AE177" s="50"/>
      <c r="AF177" s="51"/>
      <c r="AG177" s="62"/>
      <c r="AH177" s="17"/>
    </row>
    <row r="178" spans="1:34">
      <c r="A178" s="112"/>
      <c r="B178" s="113"/>
      <c r="C178" s="113"/>
      <c r="D178" s="114">
        <f t="shared" si="50"/>
        <v>0</v>
      </c>
      <c r="E178" s="19" t="e">
        <f t="shared" si="51"/>
        <v>#DIV/0!</v>
      </c>
      <c r="F178" s="16"/>
      <c r="G178" s="16"/>
      <c r="H178" s="16"/>
      <c r="I178" s="16"/>
      <c r="J178" s="16"/>
      <c r="K178" s="16" t="e">
        <f t="shared" si="53"/>
        <v>#DIV/0!</v>
      </c>
      <c r="L178" s="16"/>
      <c r="M178" s="104"/>
      <c r="N178" s="104"/>
      <c r="O178" s="47"/>
      <c r="P178" s="17"/>
      <c r="Q178" s="62"/>
      <c r="R178" s="17"/>
      <c r="S178" s="45"/>
      <c r="T178" s="48"/>
      <c r="U178" s="48"/>
      <c r="V178" s="18">
        <f t="shared" si="52"/>
        <v>0</v>
      </c>
      <c r="W178" s="56" t="e">
        <f>IF(#REF!&gt;DATE(2010,9,30),ROUNDUP(ABS( V178/U178 ),3),ROUNDUP(ABS( (T178-T179)/T179 ),3))</f>
        <v>#REF!</v>
      </c>
      <c r="X178" s="49"/>
      <c r="Y178" s="49"/>
      <c r="Z178" s="49"/>
      <c r="AA178" s="49"/>
      <c r="AB178" s="16"/>
      <c r="AC178" s="46"/>
      <c r="AD178" s="46"/>
      <c r="AE178" s="50"/>
      <c r="AF178" s="51"/>
      <c r="AG178" s="62"/>
      <c r="AH178" s="17"/>
    </row>
    <row r="179" spans="1:34">
      <c r="A179" s="112"/>
      <c r="B179" s="113"/>
      <c r="C179" s="113"/>
      <c r="D179" s="114">
        <f t="shared" si="50"/>
        <v>0</v>
      </c>
      <c r="E179" s="19" t="e">
        <f t="shared" si="51"/>
        <v>#DIV/0!</v>
      </c>
      <c r="F179" s="16"/>
      <c r="G179" s="16"/>
      <c r="H179" s="16"/>
      <c r="I179" s="16"/>
      <c r="J179" s="16"/>
      <c r="K179" s="16" t="e">
        <f t="shared" si="53"/>
        <v>#DIV/0!</v>
      </c>
      <c r="L179" s="16"/>
      <c r="M179" s="104"/>
      <c r="N179" s="104"/>
      <c r="O179" s="47"/>
      <c r="P179" s="17"/>
      <c r="Q179" s="62"/>
      <c r="R179" s="17"/>
      <c r="S179" s="45"/>
      <c r="T179" s="48"/>
      <c r="U179" s="48"/>
      <c r="V179" s="18">
        <f t="shared" si="52"/>
        <v>0</v>
      </c>
      <c r="W179" s="56" t="e">
        <f>IF(#REF!&gt;DATE(2010,9,30),ROUNDUP(ABS( V179/U179 ),3),ROUNDUP(ABS( (T179-T180)/T180 ),3))</f>
        <v>#REF!</v>
      </c>
      <c r="X179" s="49"/>
      <c r="Y179" s="49"/>
      <c r="Z179" s="49"/>
      <c r="AA179" s="49"/>
      <c r="AB179" s="16"/>
      <c r="AC179" s="46"/>
      <c r="AD179" s="46"/>
      <c r="AE179" s="50"/>
      <c r="AF179" s="51"/>
      <c r="AG179" s="62"/>
      <c r="AH179" s="17"/>
    </row>
    <row r="180" spans="1:34">
      <c r="A180" s="112"/>
      <c r="B180" s="113"/>
      <c r="C180" s="113"/>
      <c r="D180" s="114">
        <f t="shared" si="50"/>
        <v>0</v>
      </c>
      <c r="E180" s="19" t="e">
        <f t="shared" si="51"/>
        <v>#DIV/0!</v>
      </c>
      <c r="F180" s="16"/>
      <c r="G180" s="16"/>
      <c r="H180" s="16"/>
      <c r="I180" s="16"/>
      <c r="J180" s="16"/>
      <c r="K180" s="16" t="e">
        <f t="shared" si="53"/>
        <v>#DIV/0!</v>
      </c>
      <c r="L180" s="16"/>
      <c r="M180" s="104"/>
      <c r="N180" s="104"/>
      <c r="O180" s="47"/>
      <c r="P180" s="17"/>
      <c r="Q180" s="62"/>
      <c r="R180" s="17"/>
      <c r="S180" s="45"/>
      <c r="T180" s="48"/>
      <c r="U180" s="48"/>
      <c r="V180" s="18">
        <f t="shared" si="52"/>
        <v>0</v>
      </c>
      <c r="W180" s="56" t="e">
        <f>IF(#REF!&gt;DATE(2010,9,30),ROUNDUP(ABS( V180/U180 ),3),ROUNDUP(ABS( (T180-T181)/T181 ),3))</f>
        <v>#REF!</v>
      </c>
      <c r="X180" s="49"/>
      <c r="Y180" s="49"/>
      <c r="Z180" s="49"/>
      <c r="AA180" s="49"/>
      <c r="AB180" s="16"/>
      <c r="AC180" s="46"/>
      <c r="AD180" s="46"/>
      <c r="AE180" s="50"/>
      <c r="AF180" s="51"/>
      <c r="AG180" s="62"/>
      <c r="AH180" s="17"/>
    </row>
    <row r="181" spans="1:34">
      <c r="A181" s="112"/>
      <c r="B181" s="113"/>
      <c r="C181" s="113"/>
      <c r="D181" s="114">
        <f t="shared" si="50"/>
        <v>0</v>
      </c>
      <c r="E181" s="19" t="e">
        <f t="shared" si="51"/>
        <v>#DIV/0!</v>
      </c>
      <c r="F181" s="16"/>
      <c r="G181" s="16"/>
      <c r="H181" s="16"/>
      <c r="I181" s="16"/>
      <c r="J181" s="16"/>
      <c r="K181" s="16" t="e">
        <f t="shared" si="53"/>
        <v>#DIV/0!</v>
      </c>
      <c r="L181" s="16"/>
      <c r="M181" s="104"/>
      <c r="N181" s="104"/>
      <c r="O181" s="47"/>
      <c r="P181" s="17"/>
      <c r="Q181" s="62"/>
      <c r="R181" s="17"/>
      <c r="S181" s="45"/>
      <c r="T181" s="48"/>
      <c r="U181" s="48"/>
      <c r="V181" s="18">
        <f t="shared" si="52"/>
        <v>0</v>
      </c>
      <c r="W181" s="56" t="e">
        <f>IF(#REF!&gt;DATE(2010,9,30),ROUNDUP(ABS( V181/U181 ),3),ROUNDUP(ABS( (T181-T182)/T182 ),3))</f>
        <v>#REF!</v>
      </c>
      <c r="X181" s="49"/>
      <c r="Y181" s="49"/>
      <c r="Z181" s="49"/>
      <c r="AA181" s="49"/>
      <c r="AB181" s="16"/>
      <c r="AC181" s="46"/>
      <c r="AD181" s="46"/>
      <c r="AE181" s="50"/>
      <c r="AF181" s="51"/>
      <c r="AG181" s="62"/>
      <c r="AH181" s="17"/>
    </row>
    <row r="182" spans="1:34">
      <c r="A182" s="112"/>
      <c r="B182" s="113"/>
      <c r="C182" s="113"/>
      <c r="D182" s="114">
        <f t="shared" si="50"/>
        <v>0</v>
      </c>
      <c r="E182" s="19" t="e">
        <f t="shared" si="51"/>
        <v>#DIV/0!</v>
      </c>
      <c r="F182" s="16"/>
      <c r="G182" s="16"/>
      <c r="H182" s="16"/>
      <c r="I182" s="16"/>
      <c r="J182" s="16"/>
      <c r="K182" s="16" t="e">
        <f t="shared" si="53"/>
        <v>#DIV/0!</v>
      </c>
      <c r="L182" s="16"/>
      <c r="M182" s="104"/>
      <c r="N182" s="104"/>
      <c r="O182" s="47"/>
      <c r="P182" s="17"/>
      <c r="Q182" s="62"/>
      <c r="R182" s="17"/>
      <c r="S182" s="45"/>
      <c r="T182" s="48"/>
      <c r="U182" s="48"/>
      <c r="V182" s="18">
        <f t="shared" si="52"/>
        <v>0</v>
      </c>
      <c r="W182" s="56" t="e">
        <f>IF(#REF!&gt;DATE(2010,9,30),ROUNDUP(ABS( V182/U182 ),3),ROUNDUP(ABS( (T182-T183)/T183 ),3))</f>
        <v>#REF!</v>
      </c>
      <c r="X182" s="49"/>
      <c r="Y182" s="49"/>
      <c r="Z182" s="49"/>
      <c r="AA182" s="49"/>
      <c r="AB182" s="16"/>
      <c r="AC182" s="46"/>
      <c r="AD182" s="46"/>
      <c r="AE182" s="50"/>
      <c r="AF182" s="51"/>
      <c r="AG182" s="62"/>
      <c r="AH182" s="17"/>
    </row>
    <row r="183" spans="1:34">
      <c r="A183" s="112"/>
      <c r="B183" s="113"/>
      <c r="C183" s="113"/>
      <c r="D183" s="114">
        <f t="shared" si="50"/>
        <v>0</v>
      </c>
      <c r="E183" s="19" t="e">
        <f t="shared" si="51"/>
        <v>#DIV/0!</v>
      </c>
      <c r="F183" s="16"/>
      <c r="G183" s="16"/>
      <c r="H183" s="16"/>
      <c r="I183" s="16"/>
      <c r="J183" s="16"/>
      <c r="K183" s="16" t="e">
        <f t="shared" si="53"/>
        <v>#DIV/0!</v>
      </c>
      <c r="L183" s="16"/>
      <c r="M183" s="104"/>
      <c r="N183" s="104"/>
      <c r="O183" s="47"/>
      <c r="P183" s="17"/>
      <c r="Q183" s="62"/>
      <c r="R183" s="17"/>
      <c r="S183" s="45"/>
      <c r="T183" s="48"/>
      <c r="U183" s="48"/>
      <c r="V183" s="18">
        <f t="shared" si="52"/>
        <v>0</v>
      </c>
      <c r="W183" s="56" t="e">
        <f>IF(#REF!&gt;DATE(2010,9,30),ROUNDUP(ABS( V183/U183 ),3),ROUNDUP(ABS( (T183-T184)/T184 ),3))</f>
        <v>#REF!</v>
      </c>
      <c r="X183" s="49"/>
      <c r="Y183" s="49"/>
      <c r="Z183" s="49"/>
      <c r="AA183" s="49"/>
      <c r="AB183" s="16"/>
      <c r="AC183" s="46"/>
      <c r="AD183" s="46"/>
      <c r="AE183" s="50"/>
      <c r="AF183" s="51"/>
      <c r="AG183" s="62"/>
      <c r="AH183" s="17"/>
    </row>
    <row r="184" spans="1:34">
      <c r="A184" s="112"/>
      <c r="B184" s="113"/>
      <c r="C184" s="113"/>
      <c r="D184" s="114">
        <f t="shared" si="50"/>
        <v>0</v>
      </c>
      <c r="E184" s="19" t="e">
        <f t="shared" si="51"/>
        <v>#DIV/0!</v>
      </c>
      <c r="F184" s="16"/>
      <c r="G184" s="16"/>
      <c r="H184" s="16"/>
      <c r="I184" s="16"/>
      <c r="J184" s="16"/>
      <c r="K184" s="16" t="e">
        <f t="shared" si="53"/>
        <v>#DIV/0!</v>
      </c>
      <c r="L184" s="16"/>
      <c r="M184" s="104"/>
      <c r="N184" s="104"/>
      <c r="O184" s="47"/>
      <c r="P184" s="17"/>
      <c r="Q184" s="62"/>
      <c r="R184" s="17"/>
      <c r="S184" s="45"/>
      <c r="T184" s="48"/>
      <c r="U184" s="48"/>
      <c r="V184" s="18">
        <f t="shared" si="52"/>
        <v>0</v>
      </c>
      <c r="W184" s="56" t="e">
        <f>IF(#REF!&gt;DATE(2010,9,30),ROUNDUP(ABS( V184/U184 ),3),ROUNDUP(ABS( (T184-T185)/T185 ),3))</f>
        <v>#REF!</v>
      </c>
      <c r="X184" s="49"/>
      <c r="Y184" s="49"/>
      <c r="Z184" s="49"/>
      <c r="AA184" s="49"/>
      <c r="AB184" s="16"/>
      <c r="AC184" s="46"/>
      <c r="AD184" s="46"/>
      <c r="AE184" s="50"/>
      <c r="AF184" s="51"/>
      <c r="AG184" s="62"/>
      <c r="AH184" s="17"/>
    </row>
    <row r="185" spans="1:34">
      <c r="A185" s="112"/>
      <c r="B185" s="113"/>
      <c r="C185" s="113"/>
      <c r="D185" s="114">
        <f t="shared" si="50"/>
        <v>0</v>
      </c>
      <c r="E185" s="19" t="e">
        <f t="shared" si="51"/>
        <v>#DIV/0!</v>
      </c>
      <c r="F185" s="16"/>
      <c r="G185" s="16"/>
      <c r="H185" s="16"/>
      <c r="I185" s="16"/>
      <c r="J185" s="16"/>
      <c r="K185" s="16" t="e">
        <f t="shared" si="53"/>
        <v>#DIV/0!</v>
      </c>
      <c r="L185" s="16"/>
      <c r="M185" s="104"/>
      <c r="N185" s="104"/>
      <c r="O185" s="47"/>
      <c r="P185" s="17"/>
      <c r="Q185" s="62"/>
      <c r="R185" s="17"/>
      <c r="S185" s="45"/>
      <c r="T185" s="48"/>
      <c r="U185" s="48"/>
      <c r="V185" s="18">
        <f t="shared" si="52"/>
        <v>0</v>
      </c>
      <c r="W185" s="56" t="e">
        <f>IF(#REF!&gt;DATE(2010,9,30),ROUNDUP(ABS( V185/U185 ),3),ROUNDUP(ABS( (T185-T186)/T186 ),3))</f>
        <v>#REF!</v>
      </c>
      <c r="X185" s="49"/>
      <c r="Y185" s="49"/>
      <c r="Z185" s="49"/>
      <c r="AA185" s="49"/>
      <c r="AB185" s="16"/>
      <c r="AC185" s="46"/>
      <c r="AD185" s="46"/>
      <c r="AE185" s="50"/>
      <c r="AF185" s="51"/>
      <c r="AG185" s="62"/>
      <c r="AH185" s="17"/>
    </row>
    <row r="186" spans="1:34">
      <c r="A186" s="112"/>
      <c r="B186" s="113"/>
      <c r="C186" s="113"/>
      <c r="D186" s="114">
        <f t="shared" si="50"/>
        <v>0</v>
      </c>
      <c r="E186" s="19" t="e">
        <f t="shared" si="51"/>
        <v>#DIV/0!</v>
      </c>
      <c r="F186" s="16"/>
      <c r="G186" s="16"/>
      <c r="H186" s="16"/>
      <c r="I186" s="16"/>
      <c r="J186" s="16"/>
      <c r="K186" s="16" t="e">
        <f t="shared" si="53"/>
        <v>#DIV/0!</v>
      </c>
      <c r="L186" s="16"/>
      <c r="M186" s="104"/>
      <c r="N186" s="104"/>
      <c r="O186" s="47"/>
      <c r="P186" s="17"/>
      <c r="Q186" s="62"/>
      <c r="R186" s="17"/>
      <c r="S186" s="45"/>
      <c r="T186" s="48"/>
      <c r="U186" s="48"/>
      <c r="V186" s="18">
        <f t="shared" si="52"/>
        <v>0</v>
      </c>
      <c r="W186" s="56" t="e">
        <f>IF(#REF!&gt;DATE(2010,9,30),ROUNDUP(ABS( V186/U186 ),3),ROUNDUP(ABS( (T186-T187)/T187 ),3))</f>
        <v>#REF!</v>
      </c>
      <c r="X186" s="49"/>
      <c r="Y186" s="49"/>
      <c r="Z186" s="49"/>
      <c r="AA186" s="49"/>
      <c r="AB186" s="16"/>
      <c r="AC186" s="46"/>
      <c r="AD186" s="46"/>
      <c r="AE186" s="50"/>
      <c r="AF186" s="51"/>
      <c r="AG186" s="62"/>
      <c r="AH186" s="17"/>
    </row>
    <row r="187" spans="1:34">
      <c r="A187" s="112"/>
      <c r="B187" s="113"/>
      <c r="C187" s="113"/>
      <c r="D187" s="114">
        <f t="shared" si="50"/>
        <v>0</v>
      </c>
      <c r="E187" s="19" t="e">
        <f t="shared" si="51"/>
        <v>#DIV/0!</v>
      </c>
      <c r="F187" s="16"/>
      <c r="G187" s="16"/>
      <c r="H187" s="16"/>
      <c r="I187" s="16"/>
      <c r="J187" s="16"/>
      <c r="K187" s="16" t="e">
        <f t="shared" si="53"/>
        <v>#DIV/0!</v>
      </c>
      <c r="L187" s="16"/>
      <c r="M187" s="104"/>
      <c r="N187" s="104"/>
      <c r="O187" s="47"/>
      <c r="P187" s="17"/>
      <c r="Q187" s="62"/>
      <c r="R187" s="17"/>
      <c r="S187" s="45"/>
      <c r="T187" s="48"/>
      <c r="U187" s="48"/>
      <c r="V187" s="18">
        <f t="shared" si="52"/>
        <v>0</v>
      </c>
      <c r="W187" s="56" t="e">
        <f>IF(#REF!&gt;DATE(2010,9,30),ROUNDUP(ABS( V187/U187 ),3),ROUNDUP(ABS( (T187-T188)/T188 ),3))</f>
        <v>#REF!</v>
      </c>
      <c r="X187" s="49"/>
      <c r="Y187" s="49"/>
      <c r="Z187" s="49"/>
      <c r="AA187" s="49"/>
      <c r="AB187" s="16"/>
      <c r="AC187" s="46"/>
      <c r="AD187" s="46"/>
      <c r="AE187" s="50"/>
      <c r="AF187" s="51"/>
      <c r="AG187" s="62"/>
      <c r="AH187" s="17"/>
    </row>
    <row r="188" spans="1:34">
      <c r="A188" s="112"/>
      <c r="B188" s="113"/>
      <c r="C188" s="113"/>
      <c r="D188" s="114">
        <f t="shared" si="50"/>
        <v>0</v>
      </c>
      <c r="E188" s="19" t="e">
        <f t="shared" si="51"/>
        <v>#DIV/0!</v>
      </c>
      <c r="F188" s="16"/>
      <c r="G188" s="16"/>
      <c r="H188" s="16"/>
      <c r="I188" s="16"/>
      <c r="J188" s="16"/>
      <c r="K188" s="16" t="e">
        <f t="shared" si="53"/>
        <v>#DIV/0!</v>
      </c>
      <c r="L188" s="16"/>
      <c r="M188" s="104"/>
      <c r="N188" s="104"/>
      <c r="O188" s="47"/>
      <c r="P188" s="17"/>
      <c r="Q188" s="62"/>
      <c r="R188" s="17"/>
      <c r="S188" s="45"/>
      <c r="T188" s="48"/>
      <c r="U188" s="48"/>
      <c r="V188" s="18">
        <f t="shared" si="52"/>
        <v>0</v>
      </c>
      <c r="W188" s="56" t="e">
        <f>IF(#REF!&gt;DATE(2010,9,30),ROUNDUP(ABS( V188/U188 ),3),ROUNDUP(ABS( (T188-T189)/T189 ),3))</f>
        <v>#REF!</v>
      </c>
      <c r="X188" s="49"/>
      <c r="Y188" s="49"/>
      <c r="Z188" s="49"/>
      <c r="AA188" s="49"/>
      <c r="AB188" s="16"/>
      <c r="AC188" s="46"/>
      <c r="AD188" s="46"/>
      <c r="AE188" s="50"/>
      <c r="AF188" s="51"/>
      <c r="AG188" s="62"/>
      <c r="AH188" s="17"/>
    </row>
    <row r="189" spans="1:34">
      <c r="A189" s="112"/>
      <c r="B189" s="113"/>
      <c r="C189" s="113"/>
      <c r="D189" s="114">
        <f t="shared" si="50"/>
        <v>0</v>
      </c>
      <c r="E189" s="19" t="e">
        <f t="shared" si="51"/>
        <v>#DIV/0!</v>
      </c>
      <c r="F189" s="16"/>
      <c r="G189" s="16"/>
      <c r="H189" s="16"/>
      <c r="I189" s="16"/>
      <c r="J189" s="16"/>
      <c r="K189" s="16" t="e">
        <f t="shared" si="53"/>
        <v>#DIV/0!</v>
      </c>
      <c r="L189" s="16"/>
      <c r="M189" s="104"/>
      <c r="N189" s="104"/>
      <c r="O189" s="47"/>
      <c r="P189" s="17"/>
      <c r="Q189" s="62"/>
      <c r="R189" s="17"/>
      <c r="S189" s="45"/>
      <c r="T189" s="48"/>
      <c r="U189" s="48"/>
      <c r="V189" s="18">
        <f t="shared" si="52"/>
        <v>0</v>
      </c>
      <c r="W189" s="56" t="e">
        <f>IF(#REF!&gt;DATE(2010,9,30),ROUNDUP(ABS( V189/U189 ),3),ROUNDUP(ABS( (T189-T190)/T190 ),3))</f>
        <v>#REF!</v>
      </c>
      <c r="X189" s="49"/>
      <c r="Y189" s="49"/>
      <c r="Z189" s="49"/>
      <c r="AA189" s="49"/>
      <c r="AB189" s="16"/>
      <c r="AC189" s="46"/>
      <c r="AD189" s="46"/>
      <c r="AE189" s="50"/>
      <c r="AF189" s="51"/>
      <c r="AG189" s="62"/>
      <c r="AH189" s="17"/>
    </row>
    <row r="190" spans="1:34">
      <c r="A190" s="112"/>
      <c r="B190" s="113"/>
      <c r="C190" s="113"/>
      <c r="D190" s="114">
        <f t="shared" si="50"/>
        <v>0</v>
      </c>
      <c r="E190" s="19" t="e">
        <f t="shared" si="51"/>
        <v>#DIV/0!</v>
      </c>
      <c r="F190" s="16"/>
      <c r="G190" s="16"/>
      <c r="H190" s="16"/>
      <c r="I190" s="16"/>
      <c r="J190" s="16"/>
      <c r="K190" s="16" t="e">
        <f t="shared" si="53"/>
        <v>#DIV/0!</v>
      </c>
      <c r="L190" s="16"/>
      <c r="M190" s="104"/>
      <c r="N190" s="104"/>
      <c r="O190" s="47"/>
      <c r="P190" s="17"/>
      <c r="Q190" s="62"/>
      <c r="R190" s="17"/>
      <c r="S190" s="45"/>
      <c r="T190" s="48"/>
      <c r="U190" s="48"/>
      <c r="V190" s="18">
        <f t="shared" si="52"/>
        <v>0</v>
      </c>
      <c r="W190" s="56" t="e">
        <f>IF(#REF!&gt;DATE(2010,9,30),ROUNDUP(ABS( V190/U190 ),3),ROUNDUP(ABS( (T190-T191)/T191 ),3))</f>
        <v>#REF!</v>
      </c>
      <c r="X190" s="49"/>
      <c r="Y190" s="49"/>
      <c r="Z190" s="49"/>
      <c r="AA190" s="49"/>
      <c r="AB190" s="16"/>
      <c r="AC190" s="46"/>
      <c r="AD190" s="46"/>
      <c r="AE190" s="50"/>
      <c r="AF190" s="51"/>
      <c r="AG190" s="62"/>
      <c r="AH190" s="17"/>
    </row>
    <row r="191" spans="1:34">
      <c r="A191" s="112"/>
      <c r="B191" s="113"/>
      <c r="C191" s="113"/>
      <c r="D191" s="114">
        <f t="shared" si="50"/>
        <v>0</v>
      </c>
      <c r="E191" s="19" t="e">
        <f t="shared" si="51"/>
        <v>#DIV/0!</v>
      </c>
      <c r="F191" s="16"/>
      <c r="G191" s="16"/>
      <c r="H191" s="16"/>
      <c r="I191" s="16"/>
      <c r="J191" s="16"/>
      <c r="K191" s="16" t="e">
        <f t="shared" si="53"/>
        <v>#DIV/0!</v>
      </c>
      <c r="L191" s="16"/>
      <c r="M191" s="104"/>
      <c r="N191" s="104"/>
      <c r="O191" s="47"/>
      <c r="P191" s="17"/>
      <c r="Q191" s="62"/>
      <c r="R191" s="17"/>
      <c r="S191" s="45"/>
      <c r="T191" s="48"/>
      <c r="U191" s="48"/>
      <c r="V191" s="18">
        <f t="shared" si="52"/>
        <v>0</v>
      </c>
      <c r="W191" s="56" t="e">
        <f>IF(#REF!&gt;DATE(2010,9,30),ROUNDUP(ABS( V191/U191 ),3),ROUNDUP(ABS( (T191-T192)/T192 ),3))</f>
        <v>#REF!</v>
      </c>
      <c r="X191" s="49"/>
      <c r="Y191" s="49"/>
      <c r="Z191" s="49"/>
      <c r="AA191" s="49"/>
      <c r="AB191" s="16"/>
      <c r="AC191" s="46"/>
      <c r="AD191" s="46"/>
      <c r="AE191" s="50"/>
      <c r="AF191" s="51"/>
      <c r="AG191" s="62"/>
      <c r="AH191" s="17"/>
    </row>
    <row r="192" spans="1:34">
      <c r="A192" s="112"/>
      <c r="B192" s="113"/>
      <c r="C192" s="113"/>
      <c r="D192" s="114">
        <f t="shared" si="50"/>
        <v>0</v>
      </c>
      <c r="E192" s="19" t="e">
        <f t="shared" si="51"/>
        <v>#DIV/0!</v>
      </c>
      <c r="F192" s="16"/>
      <c r="G192" s="16"/>
      <c r="H192" s="16"/>
      <c r="I192" s="16"/>
      <c r="J192" s="16"/>
      <c r="K192" s="16" t="e">
        <f t="shared" si="53"/>
        <v>#DIV/0!</v>
      </c>
      <c r="L192" s="16"/>
      <c r="M192" s="104"/>
      <c r="N192" s="104"/>
      <c r="O192" s="47"/>
      <c r="P192" s="17"/>
      <c r="Q192" s="62"/>
      <c r="R192" s="17"/>
      <c r="S192" s="45"/>
      <c r="T192" s="48"/>
      <c r="U192" s="48"/>
      <c r="V192" s="18">
        <f t="shared" si="52"/>
        <v>0</v>
      </c>
      <c r="W192" s="56" t="e">
        <f>IF(#REF!&gt;DATE(2010,9,30),ROUNDUP(ABS( V192/U192 ),3),ROUNDUP(ABS( (T192-T193)/T193 ),3))</f>
        <v>#REF!</v>
      </c>
      <c r="X192" s="49"/>
      <c r="Y192" s="49"/>
      <c r="Z192" s="49"/>
      <c r="AA192" s="49"/>
      <c r="AB192" s="16"/>
      <c r="AC192" s="46"/>
      <c r="AD192" s="46"/>
      <c r="AE192" s="50"/>
      <c r="AF192" s="51"/>
      <c r="AG192" s="62"/>
      <c r="AH192" s="17"/>
    </row>
    <row r="193" spans="1:34">
      <c r="A193" s="112"/>
      <c r="B193" s="113"/>
      <c r="C193" s="113"/>
      <c r="D193" s="114">
        <f t="shared" si="50"/>
        <v>0</v>
      </c>
      <c r="E193" s="19" t="e">
        <f t="shared" si="51"/>
        <v>#DIV/0!</v>
      </c>
      <c r="F193" s="16"/>
      <c r="G193" s="16"/>
      <c r="H193" s="16"/>
      <c r="I193" s="16"/>
      <c r="J193" s="16"/>
      <c r="K193" s="16" t="e">
        <f t="shared" si="53"/>
        <v>#DIV/0!</v>
      </c>
      <c r="L193" s="16"/>
      <c r="M193" s="104"/>
      <c r="N193" s="104"/>
      <c r="O193" s="47"/>
      <c r="P193" s="17"/>
      <c r="Q193" s="62"/>
      <c r="R193" s="17"/>
      <c r="S193" s="45"/>
      <c r="T193" s="48"/>
      <c r="U193" s="48"/>
      <c r="V193" s="18">
        <f t="shared" si="52"/>
        <v>0</v>
      </c>
      <c r="W193" s="56" t="e">
        <f>IF(#REF!&gt;DATE(2010,9,30),ROUNDUP(ABS( V193/U193 ),3),ROUNDUP(ABS( (T193-T194)/T194 ),3))</f>
        <v>#REF!</v>
      </c>
      <c r="X193" s="49"/>
      <c r="Y193" s="49"/>
      <c r="Z193" s="49"/>
      <c r="AA193" s="49"/>
      <c r="AB193" s="16"/>
      <c r="AC193" s="46"/>
      <c r="AD193" s="46"/>
      <c r="AE193" s="50"/>
      <c r="AF193" s="51"/>
      <c r="AG193" s="62"/>
      <c r="AH193" s="17"/>
    </row>
    <row r="194" spans="1:34">
      <c r="A194" s="112"/>
      <c r="B194" s="113"/>
      <c r="C194" s="113"/>
      <c r="D194" s="114">
        <f t="shared" si="50"/>
        <v>0</v>
      </c>
      <c r="E194" s="19" t="e">
        <f t="shared" si="51"/>
        <v>#DIV/0!</v>
      </c>
      <c r="F194" s="16"/>
      <c r="G194" s="16"/>
      <c r="H194" s="16"/>
      <c r="I194" s="16"/>
      <c r="J194" s="16"/>
      <c r="K194" s="16" t="e">
        <f t="shared" si="53"/>
        <v>#DIV/0!</v>
      </c>
      <c r="L194" s="16"/>
      <c r="M194" s="104"/>
      <c r="N194" s="104"/>
      <c r="O194" s="47"/>
      <c r="P194" s="17"/>
      <c r="Q194" s="62"/>
      <c r="R194" s="17"/>
      <c r="S194" s="45"/>
      <c r="T194" s="48"/>
      <c r="U194" s="48"/>
      <c r="V194" s="18">
        <f t="shared" si="52"/>
        <v>0</v>
      </c>
      <c r="W194" s="56" t="e">
        <f>IF(#REF!&gt;DATE(2010,9,30),ROUNDUP(ABS( V194/U194 ),3),ROUNDUP(ABS( (T194-T195)/T195 ),3))</f>
        <v>#REF!</v>
      </c>
      <c r="X194" s="49"/>
      <c r="Y194" s="49"/>
      <c r="Z194" s="49"/>
      <c r="AA194" s="49"/>
      <c r="AB194" s="16"/>
      <c r="AC194" s="46"/>
      <c r="AD194" s="46"/>
      <c r="AE194" s="50"/>
      <c r="AF194" s="51"/>
      <c r="AG194" s="62"/>
      <c r="AH194" s="17"/>
    </row>
    <row r="195" spans="1:34">
      <c r="A195" s="112"/>
      <c r="B195" s="113"/>
      <c r="C195" s="113"/>
      <c r="D195" s="114">
        <f t="shared" ref="D195:D257" si="54">B195-C195</f>
        <v>0</v>
      </c>
      <c r="E195" s="19" t="e">
        <f t="shared" ref="E195:E257" si="55">IF($A195&gt;DATE(2010,9,30),ROUNDUP(ABS( D195/C195 ),3),ROUNDUP(ABS( (B195-B196)/B196 ),3))</f>
        <v>#DIV/0!</v>
      </c>
      <c r="F195" s="16"/>
      <c r="G195" s="16"/>
      <c r="H195" s="16"/>
      <c r="I195" s="16"/>
      <c r="J195" s="16"/>
      <c r="K195" s="16" t="e">
        <f t="shared" si="53"/>
        <v>#DIV/0!</v>
      </c>
      <c r="L195" s="16"/>
      <c r="M195" s="104"/>
      <c r="N195" s="104"/>
      <c r="O195" s="47"/>
      <c r="P195" s="17"/>
      <c r="Q195" s="62"/>
      <c r="R195" s="17"/>
      <c r="S195" s="45"/>
      <c r="T195" s="48"/>
      <c r="U195" s="48"/>
      <c r="V195" s="18">
        <f t="shared" ref="V195:V257" si="56">T195-U195</f>
        <v>0</v>
      </c>
      <c r="W195" s="56" t="e">
        <f>IF(#REF!&gt;DATE(2010,9,30),ROUNDUP(ABS( V195/U195 ),3),ROUNDUP(ABS( (T195-T196)/T196 ),3))</f>
        <v>#REF!</v>
      </c>
      <c r="X195" s="49"/>
      <c r="Y195" s="49"/>
      <c r="Z195" s="49"/>
      <c r="AA195" s="49"/>
      <c r="AB195" s="16"/>
      <c r="AC195" s="46"/>
      <c r="AD195" s="46"/>
      <c r="AE195" s="50"/>
      <c r="AF195" s="51"/>
      <c r="AG195" s="62"/>
      <c r="AH195" s="17"/>
    </row>
    <row r="196" spans="1:34">
      <c r="A196" s="112"/>
      <c r="B196" s="113"/>
      <c r="C196" s="113"/>
      <c r="D196" s="114">
        <f t="shared" si="54"/>
        <v>0</v>
      </c>
      <c r="E196" s="19" t="e">
        <f t="shared" si="55"/>
        <v>#DIV/0!</v>
      </c>
      <c r="F196" s="16"/>
      <c r="G196" s="16"/>
      <c r="H196" s="16"/>
      <c r="I196" s="16"/>
      <c r="J196" s="16"/>
      <c r="K196" s="16" t="e">
        <f t="shared" ref="K196:K257" si="57">AVERAGE(F196:J196)</f>
        <v>#DIV/0!</v>
      </c>
      <c r="L196" s="16"/>
      <c r="M196" s="104"/>
      <c r="N196" s="104"/>
      <c r="O196" s="47"/>
      <c r="P196" s="17"/>
      <c r="Q196" s="62"/>
      <c r="R196" s="17"/>
      <c r="S196" s="45"/>
      <c r="T196" s="48"/>
      <c r="U196" s="48"/>
      <c r="V196" s="18">
        <f t="shared" si="56"/>
        <v>0</v>
      </c>
      <c r="W196" s="56" t="e">
        <f>IF(#REF!&gt;DATE(2010,9,30),ROUNDUP(ABS( V196/U196 ),3),ROUNDUP(ABS( (T196-T197)/T197 ),3))</f>
        <v>#REF!</v>
      </c>
      <c r="X196" s="49"/>
      <c r="Y196" s="49"/>
      <c r="Z196" s="49"/>
      <c r="AA196" s="49"/>
      <c r="AB196" s="16"/>
      <c r="AC196" s="46"/>
      <c r="AD196" s="46"/>
      <c r="AE196" s="50"/>
      <c r="AF196" s="51"/>
      <c r="AG196" s="62"/>
      <c r="AH196" s="17"/>
    </row>
    <row r="197" spans="1:34">
      <c r="A197" s="112"/>
      <c r="B197" s="113"/>
      <c r="C197" s="113"/>
      <c r="D197" s="114">
        <f t="shared" si="54"/>
        <v>0</v>
      </c>
      <c r="E197" s="19" t="e">
        <f t="shared" si="55"/>
        <v>#DIV/0!</v>
      </c>
      <c r="F197" s="16"/>
      <c r="G197" s="16"/>
      <c r="H197" s="16"/>
      <c r="I197" s="16"/>
      <c r="J197" s="16"/>
      <c r="K197" s="16" t="e">
        <f t="shared" si="57"/>
        <v>#DIV/0!</v>
      </c>
      <c r="L197" s="16"/>
      <c r="M197" s="104"/>
      <c r="N197" s="104"/>
      <c r="O197" s="47"/>
      <c r="P197" s="17"/>
      <c r="Q197" s="62"/>
      <c r="R197" s="17"/>
      <c r="S197" s="45"/>
      <c r="T197" s="48"/>
      <c r="U197" s="48"/>
      <c r="V197" s="18">
        <f t="shared" si="56"/>
        <v>0</v>
      </c>
      <c r="W197" s="56" t="e">
        <f>IF(#REF!&gt;DATE(2010,9,30),ROUNDUP(ABS( V197/U197 ),3),ROUNDUP(ABS( (T197-T198)/T198 ),3))</f>
        <v>#REF!</v>
      </c>
      <c r="X197" s="49"/>
      <c r="Y197" s="49"/>
      <c r="Z197" s="49"/>
      <c r="AA197" s="49"/>
      <c r="AB197" s="16"/>
      <c r="AC197" s="46"/>
      <c r="AD197" s="46"/>
      <c r="AE197" s="50"/>
      <c r="AF197" s="51"/>
      <c r="AG197" s="62"/>
      <c r="AH197" s="17"/>
    </row>
    <row r="198" spans="1:34" s="29" customFormat="1">
      <c r="A198" s="112"/>
      <c r="B198" s="113"/>
      <c r="C198" s="113"/>
      <c r="D198" s="114">
        <f t="shared" si="54"/>
        <v>0</v>
      </c>
      <c r="E198" s="19" t="e">
        <f t="shared" si="55"/>
        <v>#DIV/0!</v>
      </c>
      <c r="F198" s="16"/>
      <c r="G198" s="16"/>
      <c r="H198" s="16"/>
      <c r="I198" s="16"/>
      <c r="J198" s="16"/>
      <c r="K198" s="16" t="e">
        <f t="shared" si="57"/>
        <v>#DIV/0!</v>
      </c>
      <c r="L198" s="16"/>
      <c r="M198" s="104"/>
      <c r="N198" s="104"/>
      <c r="O198" s="47"/>
      <c r="P198" s="17"/>
      <c r="Q198" s="62"/>
      <c r="R198" s="17"/>
      <c r="S198" s="53"/>
      <c r="T198" s="48"/>
      <c r="U198" s="48"/>
      <c r="V198" s="18">
        <f t="shared" si="56"/>
        <v>0</v>
      </c>
      <c r="W198" s="56" t="e">
        <f>IF(#REF!&gt;DATE(2010,9,30),ROUNDUP(ABS( V198/U198 ),3),ROUNDUP(ABS( (T198-T199)/T199 ),3))</f>
        <v>#REF!</v>
      </c>
      <c r="X198" s="49"/>
      <c r="Y198" s="49"/>
      <c r="Z198" s="49"/>
      <c r="AA198" s="49"/>
      <c r="AB198" s="16"/>
      <c r="AC198" s="46"/>
      <c r="AD198" s="46"/>
      <c r="AE198" s="50"/>
      <c r="AF198" s="51"/>
      <c r="AG198" s="62"/>
      <c r="AH198" s="17"/>
    </row>
    <row r="199" spans="1:34">
      <c r="A199" s="112"/>
      <c r="B199" s="113"/>
      <c r="C199" s="113"/>
      <c r="D199" s="114">
        <f t="shared" si="54"/>
        <v>0</v>
      </c>
      <c r="E199" s="19" t="e">
        <f t="shared" si="55"/>
        <v>#DIV/0!</v>
      </c>
      <c r="F199" s="16"/>
      <c r="G199" s="16"/>
      <c r="H199" s="16"/>
      <c r="I199" s="16"/>
      <c r="J199" s="16"/>
      <c r="K199" s="16" t="e">
        <f t="shared" si="57"/>
        <v>#DIV/0!</v>
      </c>
      <c r="L199" s="16"/>
      <c r="M199" s="104"/>
      <c r="N199" s="104"/>
      <c r="O199" s="47"/>
      <c r="P199" s="17"/>
      <c r="Q199" s="62"/>
      <c r="R199" s="17"/>
      <c r="S199" s="45"/>
      <c r="T199" s="48"/>
      <c r="U199" s="48"/>
      <c r="V199" s="18">
        <f t="shared" si="56"/>
        <v>0</v>
      </c>
      <c r="W199" s="56" t="e">
        <f>IF(#REF!&gt;DATE(2010,9,30),ROUNDUP(ABS( V199/U199 ),3),ROUNDUP(ABS( (T199-T200)/T200 ),3))</f>
        <v>#REF!</v>
      </c>
      <c r="X199" s="49"/>
      <c r="Y199" s="49"/>
      <c r="Z199" s="49"/>
      <c r="AA199" s="49"/>
      <c r="AB199" s="16"/>
      <c r="AC199" s="46"/>
      <c r="AD199" s="46"/>
      <c r="AE199" s="50"/>
      <c r="AF199" s="51"/>
      <c r="AG199" s="62"/>
      <c r="AH199" s="17"/>
    </row>
    <row r="200" spans="1:34">
      <c r="A200" s="112"/>
      <c r="B200" s="113"/>
      <c r="C200" s="113"/>
      <c r="D200" s="114">
        <f t="shared" si="54"/>
        <v>0</v>
      </c>
      <c r="E200" s="19" t="e">
        <f t="shared" si="55"/>
        <v>#DIV/0!</v>
      </c>
      <c r="F200" s="16"/>
      <c r="G200" s="16"/>
      <c r="H200" s="16"/>
      <c r="I200" s="16"/>
      <c r="J200" s="16"/>
      <c r="K200" s="16" t="e">
        <f t="shared" si="57"/>
        <v>#DIV/0!</v>
      </c>
      <c r="L200" s="16"/>
      <c r="M200" s="104"/>
      <c r="N200" s="104"/>
      <c r="O200" s="47"/>
      <c r="P200" s="17"/>
      <c r="Q200" s="62"/>
      <c r="R200" s="17"/>
      <c r="S200" s="45"/>
      <c r="T200" s="48"/>
      <c r="U200" s="48"/>
      <c r="V200" s="18">
        <f t="shared" si="56"/>
        <v>0</v>
      </c>
      <c r="W200" s="56" t="e">
        <f>IF(#REF!&gt;DATE(2010,9,30),ROUNDUP(ABS( V200/U200 ),3),ROUNDUP(ABS( (T200-T201)/T201 ),3))</f>
        <v>#REF!</v>
      </c>
      <c r="X200" s="49"/>
      <c r="Y200" s="49"/>
      <c r="Z200" s="49"/>
      <c r="AA200" s="49"/>
      <c r="AB200" s="16"/>
      <c r="AC200" s="46"/>
      <c r="AD200" s="46"/>
      <c r="AE200" s="50"/>
      <c r="AF200" s="51"/>
      <c r="AG200" s="62"/>
      <c r="AH200" s="17"/>
    </row>
    <row r="201" spans="1:34">
      <c r="A201" s="112"/>
      <c r="B201" s="113"/>
      <c r="C201" s="113"/>
      <c r="D201" s="114">
        <f t="shared" si="54"/>
        <v>0</v>
      </c>
      <c r="E201" s="19" t="e">
        <f t="shared" si="55"/>
        <v>#DIV/0!</v>
      </c>
      <c r="F201" s="16"/>
      <c r="G201" s="16"/>
      <c r="H201" s="16"/>
      <c r="I201" s="16"/>
      <c r="J201" s="16"/>
      <c r="K201" s="16" t="e">
        <f t="shared" si="57"/>
        <v>#DIV/0!</v>
      </c>
      <c r="L201" s="16"/>
      <c r="M201" s="104"/>
      <c r="N201" s="104"/>
      <c r="O201" s="47"/>
      <c r="P201" s="17"/>
      <c r="Q201" s="62"/>
      <c r="R201" s="17"/>
      <c r="S201" s="45"/>
      <c r="T201" s="48"/>
      <c r="U201" s="48"/>
      <c r="V201" s="18">
        <f t="shared" si="56"/>
        <v>0</v>
      </c>
      <c r="W201" s="56" t="e">
        <f>IF(#REF!&gt;DATE(2010,9,30),ROUNDUP(ABS( V201/U201 ),3),ROUNDUP(ABS( (T201-T202)/T202 ),3))</f>
        <v>#REF!</v>
      </c>
      <c r="X201" s="49"/>
      <c r="Y201" s="49"/>
      <c r="Z201" s="49"/>
      <c r="AA201" s="49"/>
      <c r="AB201" s="16"/>
      <c r="AC201" s="46"/>
      <c r="AD201" s="46"/>
      <c r="AE201" s="50"/>
      <c r="AF201" s="51"/>
      <c r="AG201" s="62"/>
      <c r="AH201" s="17"/>
    </row>
    <row r="202" spans="1:34">
      <c r="A202" s="112"/>
      <c r="B202" s="113"/>
      <c r="C202" s="113"/>
      <c r="D202" s="114">
        <f t="shared" si="54"/>
        <v>0</v>
      </c>
      <c r="E202" s="19" t="e">
        <f t="shared" si="55"/>
        <v>#DIV/0!</v>
      </c>
      <c r="F202" s="16"/>
      <c r="G202" s="16"/>
      <c r="H202" s="16"/>
      <c r="I202" s="16"/>
      <c r="J202" s="16"/>
      <c r="K202" s="16" t="e">
        <f t="shared" si="57"/>
        <v>#DIV/0!</v>
      </c>
      <c r="L202" s="16"/>
      <c r="M202" s="104"/>
      <c r="N202" s="104"/>
      <c r="O202" s="47"/>
      <c r="P202" s="17"/>
      <c r="Q202" s="62"/>
      <c r="R202" s="17"/>
      <c r="S202" s="45"/>
      <c r="T202" s="48"/>
      <c r="U202" s="48"/>
      <c r="V202" s="18">
        <f t="shared" si="56"/>
        <v>0</v>
      </c>
      <c r="W202" s="56" t="e">
        <f>IF(#REF!&gt;DATE(2010,9,30),ROUNDUP(ABS( V202/U202 ),3),ROUNDUP(ABS( (T202-T203)/T203 ),3))</f>
        <v>#REF!</v>
      </c>
      <c r="X202" s="49"/>
      <c r="Y202" s="49"/>
      <c r="Z202" s="49"/>
      <c r="AA202" s="49"/>
      <c r="AB202" s="16"/>
      <c r="AC202" s="46"/>
      <c r="AD202" s="46"/>
      <c r="AE202" s="50"/>
      <c r="AF202" s="51"/>
      <c r="AG202" s="62"/>
      <c r="AH202" s="17"/>
    </row>
    <row r="203" spans="1:34">
      <c r="A203" s="112"/>
      <c r="B203" s="113"/>
      <c r="C203" s="113"/>
      <c r="D203" s="114">
        <f t="shared" si="54"/>
        <v>0</v>
      </c>
      <c r="E203" s="19" t="e">
        <f t="shared" si="55"/>
        <v>#DIV/0!</v>
      </c>
      <c r="F203" s="16"/>
      <c r="G203" s="16"/>
      <c r="H203" s="16"/>
      <c r="I203" s="16"/>
      <c r="J203" s="16"/>
      <c r="K203" s="16" t="e">
        <f t="shared" si="57"/>
        <v>#DIV/0!</v>
      </c>
      <c r="L203" s="16"/>
      <c r="M203" s="104"/>
      <c r="N203" s="104"/>
      <c r="O203" s="47"/>
      <c r="P203" s="17"/>
      <c r="Q203" s="62"/>
      <c r="R203" s="17"/>
      <c r="S203" s="45"/>
      <c r="T203" s="48"/>
      <c r="U203" s="48"/>
      <c r="V203" s="18">
        <f t="shared" si="56"/>
        <v>0</v>
      </c>
      <c r="W203" s="56" t="e">
        <f>IF(#REF!&gt;DATE(2010,9,30),ROUNDUP(ABS( V203/U203 ),3),ROUNDUP(ABS( (T203-T204)/T204 ),3))</f>
        <v>#REF!</v>
      </c>
      <c r="X203" s="49"/>
      <c r="Y203" s="49"/>
      <c r="Z203" s="49"/>
      <c r="AA203" s="49"/>
      <c r="AB203" s="16"/>
      <c r="AC203" s="46"/>
      <c r="AD203" s="46"/>
      <c r="AE203" s="50"/>
      <c r="AF203" s="51"/>
      <c r="AG203" s="62"/>
      <c r="AH203" s="17"/>
    </row>
    <row r="204" spans="1:34">
      <c r="A204" s="112"/>
      <c r="B204" s="113"/>
      <c r="C204" s="113"/>
      <c r="D204" s="114">
        <f t="shared" si="54"/>
        <v>0</v>
      </c>
      <c r="E204" s="19" t="e">
        <f t="shared" si="55"/>
        <v>#DIV/0!</v>
      </c>
      <c r="F204" s="16"/>
      <c r="G204" s="16"/>
      <c r="H204" s="16"/>
      <c r="I204" s="16"/>
      <c r="J204" s="16"/>
      <c r="K204" s="16" t="e">
        <f t="shared" si="57"/>
        <v>#DIV/0!</v>
      </c>
      <c r="L204" s="16"/>
      <c r="M204" s="104"/>
      <c r="N204" s="104"/>
      <c r="O204" s="47"/>
      <c r="P204" s="17"/>
      <c r="Q204" s="62"/>
      <c r="R204" s="17"/>
      <c r="S204" s="45"/>
      <c r="T204" s="48"/>
      <c r="U204" s="48"/>
      <c r="V204" s="18">
        <f t="shared" si="56"/>
        <v>0</v>
      </c>
      <c r="W204" s="56" t="e">
        <f>IF(#REF!&gt;DATE(2010,9,30),ROUNDUP(ABS( V204/U204 ),3),ROUNDUP(ABS( (T204-T205)/T205 ),3))</f>
        <v>#REF!</v>
      </c>
      <c r="X204" s="49"/>
      <c r="Y204" s="49"/>
      <c r="Z204" s="49"/>
      <c r="AA204" s="49"/>
      <c r="AB204" s="16"/>
      <c r="AC204" s="46"/>
      <c r="AD204" s="46"/>
      <c r="AE204" s="50"/>
      <c r="AF204" s="51"/>
      <c r="AG204" s="62"/>
      <c r="AH204" s="17"/>
    </row>
    <row r="205" spans="1:34">
      <c r="A205" s="112"/>
      <c r="B205" s="113"/>
      <c r="C205" s="113"/>
      <c r="D205" s="114">
        <f t="shared" si="54"/>
        <v>0</v>
      </c>
      <c r="E205" s="19" t="e">
        <f t="shared" si="55"/>
        <v>#DIV/0!</v>
      </c>
      <c r="F205" s="16"/>
      <c r="G205" s="16"/>
      <c r="H205" s="16"/>
      <c r="I205" s="16"/>
      <c r="J205" s="16"/>
      <c r="K205" s="16" t="e">
        <f t="shared" si="57"/>
        <v>#DIV/0!</v>
      </c>
      <c r="L205" s="16"/>
      <c r="M205" s="104"/>
      <c r="N205" s="104"/>
      <c r="O205" s="47"/>
      <c r="P205" s="17"/>
      <c r="Q205" s="62"/>
      <c r="R205" s="17"/>
      <c r="S205" s="45"/>
      <c r="T205" s="48"/>
      <c r="U205" s="48"/>
      <c r="V205" s="18">
        <f t="shared" si="56"/>
        <v>0</v>
      </c>
      <c r="W205" s="56" t="e">
        <f>IF(#REF!&gt;DATE(2010,9,30),ROUNDUP(ABS( V205/U205 ),3),ROUNDUP(ABS( (T205-T206)/T206 ),3))</f>
        <v>#REF!</v>
      </c>
      <c r="X205" s="49"/>
      <c r="Y205" s="49"/>
      <c r="Z205" s="49"/>
      <c r="AA205" s="49"/>
      <c r="AB205" s="16"/>
      <c r="AC205" s="46"/>
      <c r="AD205" s="46"/>
      <c r="AE205" s="50"/>
      <c r="AF205" s="51"/>
      <c r="AG205" s="62"/>
      <c r="AH205" s="17"/>
    </row>
    <row r="206" spans="1:34">
      <c r="A206" s="112"/>
      <c r="B206" s="113"/>
      <c r="C206" s="113"/>
      <c r="D206" s="114">
        <f t="shared" si="54"/>
        <v>0</v>
      </c>
      <c r="E206" s="19" t="e">
        <f t="shared" si="55"/>
        <v>#DIV/0!</v>
      </c>
      <c r="F206" s="16"/>
      <c r="G206" s="16"/>
      <c r="H206" s="16"/>
      <c r="I206" s="16"/>
      <c r="J206" s="16"/>
      <c r="K206" s="16" t="e">
        <f t="shared" si="57"/>
        <v>#DIV/0!</v>
      </c>
      <c r="L206" s="16"/>
      <c r="M206" s="104"/>
      <c r="N206" s="104"/>
      <c r="O206" s="47"/>
      <c r="P206" s="17"/>
      <c r="Q206" s="62"/>
      <c r="R206" s="17"/>
      <c r="S206" s="45"/>
      <c r="T206" s="48"/>
      <c r="U206" s="48"/>
      <c r="V206" s="18">
        <f t="shared" si="56"/>
        <v>0</v>
      </c>
      <c r="W206" s="56" t="e">
        <f>IF(#REF!&gt;DATE(2010,9,30),ROUNDUP(ABS( V206/U206 ),3),ROUNDUP(ABS( (T206-T207)/T207 ),3))</f>
        <v>#REF!</v>
      </c>
      <c r="X206" s="49"/>
      <c r="Y206" s="49"/>
      <c r="Z206" s="49"/>
      <c r="AA206" s="49"/>
      <c r="AB206" s="16"/>
      <c r="AC206" s="46"/>
      <c r="AD206" s="46"/>
      <c r="AE206" s="50"/>
      <c r="AF206" s="51"/>
      <c r="AG206" s="62"/>
      <c r="AH206" s="17"/>
    </row>
    <row r="207" spans="1:34">
      <c r="A207" s="112"/>
      <c r="B207" s="113"/>
      <c r="C207" s="113"/>
      <c r="D207" s="114">
        <f t="shared" si="54"/>
        <v>0</v>
      </c>
      <c r="E207" s="19" t="e">
        <f t="shared" si="55"/>
        <v>#DIV/0!</v>
      </c>
      <c r="F207" s="16"/>
      <c r="G207" s="16"/>
      <c r="H207" s="16"/>
      <c r="I207" s="16"/>
      <c r="J207" s="16"/>
      <c r="K207" s="16" t="e">
        <f t="shared" si="57"/>
        <v>#DIV/0!</v>
      </c>
      <c r="L207" s="16"/>
      <c r="M207" s="104"/>
      <c r="N207" s="104"/>
      <c r="O207" s="47"/>
      <c r="P207" s="17"/>
      <c r="Q207" s="62"/>
      <c r="R207" s="17"/>
      <c r="S207" s="45"/>
      <c r="T207" s="48"/>
      <c r="U207" s="48"/>
      <c r="V207" s="18">
        <f t="shared" si="56"/>
        <v>0</v>
      </c>
      <c r="W207" s="56" t="e">
        <f>IF(#REF!&gt;DATE(2010,9,30),ROUNDUP(ABS( V207/U207 ),3),ROUNDUP(ABS( (T207-T208)/T208 ),3))</f>
        <v>#REF!</v>
      </c>
      <c r="X207" s="49"/>
      <c r="Y207" s="49"/>
      <c r="Z207" s="49"/>
      <c r="AA207" s="49"/>
      <c r="AB207" s="16"/>
      <c r="AC207" s="46"/>
      <c r="AD207" s="46"/>
      <c r="AE207" s="50"/>
      <c r="AF207" s="51"/>
      <c r="AG207" s="62"/>
      <c r="AH207" s="17"/>
    </row>
    <row r="208" spans="1:34">
      <c r="A208" s="112"/>
      <c r="B208" s="113"/>
      <c r="C208" s="113"/>
      <c r="D208" s="114">
        <f t="shared" si="54"/>
        <v>0</v>
      </c>
      <c r="E208" s="19" t="e">
        <f t="shared" si="55"/>
        <v>#DIV/0!</v>
      </c>
      <c r="F208" s="16"/>
      <c r="G208" s="16"/>
      <c r="H208" s="16"/>
      <c r="I208" s="16"/>
      <c r="J208" s="16"/>
      <c r="K208" s="16" t="e">
        <f t="shared" si="57"/>
        <v>#DIV/0!</v>
      </c>
      <c r="L208" s="16"/>
      <c r="M208" s="104"/>
      <c r="N208" s="104"/>
      <c r="O208" s="47"/>
      <c r="P208" s="17"/>
      <c r="Q208" s="62"/>
      <c r="R208" s="17"/>
      <c r="S208" s="45"/>
      <c r="T208" s="48"/>
      <c r="U208" s="48"/>
      <c r="V208" s="18">
        <f t="shared" si="56"/>
        <v>0</v>
      </c>
      <c r="W208" s="56" t="e">
        <f>IF(#REF!&gt;DATE(2010,9,30),ROUNDUP(ABS( V208/U208 ),3),ROUNDUP(ABS( (T208-T209)/T209 ),3))</f>
        <v>#REF!</v>
      </c>
      <c r="X208" s="49"/>
      <c r="Y208" s="49"/>
      <c r="Z208" s="49"/>
      <c r="AA208" s="49"/>
      <c r="AB208" s="16"/>
      <c r="AC208" s="46"/>
      <c r="AD208" s="46"/>
      <c r="AE208" s="50"/>
      <c r="AF208" s="51"/>
      <c r="AG208" s="62"/>
      <c r="AH208" s="17"/>
    </row>
    <row r="209" spans="1:34">
      <c r="A209" s="112"/>
      <c r="B209" s="113"/>
      <c r="C209" s="113"/>
      <c r="D209" s="114">
        <f t="shared" si="54"/>
        <v>0</v>
      </c>
      <c r="E209" s="19" t="e">
        <f t="shared" si="55"/>
        <v>#DIV/0!</v>
      </c>
      <c r="F209" s="16"/>
      <c r="G209" s="16"/>
      <c r="H209" s="16"/>
      <c r="I209" s="16"/>
      <c r="J209" s="16"/>
      <c r="K209" s="16" t="e">
        <f t="shared" si="57"/>
        <v>#DIV/0!</v>
      </c>
      <c r="L209" s="16"/>
      <c r="M209" s="104"/>
      <c r="N209" s="104"/>
      <c r="O209" s="47"/>
      <c r="P209" s="17"/>
      <c r="Q209" s="62"/>
      <c r="R209" s="17"/>
      <c r="S209" s="45"/>
      <c r="T209" s="48"/>
      <c r="U209" s="48"/>
      <c r="V209" s="18">
        <f t="shared" si="56"/>
        <v>0</v>
      </c>
      <c r="W209" s="56" t="e">
        <f>IF(#REF!&gt;DATE(2010,9,30),ROUNDUP(ABS( V209/U209 ),3),ROUNDUP(ABS( (T209-T210)/T210 ),3))</f>
        <v>#REF!</v>
      </c>
      <c r="X209" s="49"/>
      <c r="Y209" s="49"/>
      <c r="Z209" s="49"/>
      <c r="AA209" s="49"/>
      <c r="AB209" s="16"/>
      <c r="AC209" s="46"/>
      <c r="AD209" s="46"/>
      <c r="AE209" s="50"/>
      <c r="AF209" s="51"/>
      <c r="AG209" s="62"/>
      <c r="AH209" s="17"/>
    </row>
    <row r="210" spans="1:34">
      <c r="A210" s="112"/>
      <c r="B210" s="113"/>
      <c r="C210" s="113"/>
      <c r="D210" s="114">
        <f t="shared" si="54"/>
        <v>0</v>
      </c>
      <c r="E210" s="19" t="e">
        <f t="shared" si="55"/>
        <v>#DIV/0!</v>
      </c>
      <c r="F210" s="16"/>
      <c r="G210" s="16"/>
      <c r="H210" s="16"/>
      <c r="I210" s="16"/>
      <c r="J210" s="16"/>
      <c r="K210" s="16" t="e">
        <f t="shared" si="57"/>
        <v>#DIV/0!</v>
      </c>
      <c r="L210" s="16"/>
      <c r="M210" s="104"/>
      <c r="N210" s="104"/>
      <c r="O210" s="47"/>
      <c r="P210" s="17"/>
      <c r="Q210" s="62"/>
      <c r="R210" s="17"/>
      <c r="S210" s="45"/>
      <c r="T210" s="48"/>
      <c r="U210" s="48"/>
      <c r="V210" s="18">
        <f t="shared" si="56"/>
        <v>0</v>
      </c>
      <c r="W210" s="56" t="e">
        <f>IF(#REF!&gt;DATE(2010,9,30),ROUNDUP(ABS( V210/U210 ),3),ROUNDUP(ABS( (T210-T211)/T211 ),3))</f>
        <v>#REF!</v>
      </c>
      <c r="X210" s="49"/>
      <c r="Y210" s="49"/>
      <c r="Z210" s="49"/>
      <c r="AA210" s="49"/>
      <c r="AB210" s="16"/>
      <c r="AC210" s="46"/>
      <c r="AD210" s="46"/>
      <c r="AE210" s="50"/>
      <c r="AF210" s="51"/>
      <c r="AG210" s="62"/>
      <c r="AH210" s="17"/>
    </row>
    <row r="211" spans="1:34">
      <c r="A211" s="112"/>
      <c r="B211" s="113"/>
      <c r="C211" s="113"/>
      <c r="D211" s="114">
        <f t="shared" si="54"/>
        <v>0</v>
      </c>
      <c r="E211" s="19" t="e">
        <f t="shared" si="55"/>
        <v>#DIV/0!</v>
      </c>
      <c r="F211" s="16"/>
      <c r="G211" s="16"/>
      <c r="H211" s="16"/>
      <c r="I211" s="16"/>
      <c r="J211" s="16"/>
      <c r="K211" s="16" t="e">
        <f t="shared" si="57"/>
        <v>#DIV/0!</v>
      </c>
      <c r="L211" s="16"/>
      <c r="M211" s="104"/>
      <c r="N211" s="104"/>
      <c r="O211" s="47"/>
      <c r="P211" s="17"/>
      <c r="Q211" s="62"/>
      <c r="R211" s="17"/>
      <c r="S211" s="45"/>
      <c r="T211" s="48"/>
      <c r="U211" s="48"/>
      <c r="V211" s="18">
        <f t="shared" si="56"/>
        <v>0</v>
      </c>
      <c r="W211" s="56" t="e">
        <f>IF(#REF!&gt;DATE(2010,9,30),ROUNDUP(ABS( V211/U211 ),3),ROUNDUP(ABS( (T211-T212)/T212 ),3))</f>
        <v>#REF!</v>
      </c>
      <c r="X211" s="49"/>
      <c r="Y211" s="49"/>
      <c r="Z211" s="49"/>
      <c r="AA211" s="49"/>
      <c r="AB211" s="16"/>
      <c r="AC211" s="46"/>
      <c r="AD211" s="46"/>
      <c r="AE211" s="50"/>
      <c r="AF211" s="51"/>
      <c r="AG211" s="62"/>
      <c r="AH211" s="17"/>
    </row>
    <row r="212" spans="1:34">
      <c r="A212" s="112"/>
      <c r="B212" s="113"/>
      <c r="C212" s="113"/>
      <c r="D212" s="114">
        <f t="shared" si="54"/>
        <v>0</v>
      </c>
      <c r="E212" s="19" t="e">
        <f t="shared" si="55"/>
        <v>#DIV/0!</v>
      </c>
      <c r="F212" s="16"/>
      <c r="G212" s="16"/>
      <c r="H212" s="16"/>
      <c r="I212" s="16"/>
      <c r="J212" s="16"/>
      <c r="K212" s="16" t="e">
        <f t="shared" si="57"/>
        <v>#DIV/0!</v>
      </c>
      <c r="L212" s="16"/>
      <c r="M212" s="104"/>
      <c r="N212" s="104"/>
      <c r="O212" s="47"/>
      <c r="P212" s="17"/>
      <c r="Q212" s="62"/>
      <c r="R212" s="17"/>
      <c r="S212" s="45"/>
      <c r="T212" s="48"/>
      <c r="U212" s="48"/>
      <c r="V212" s="18">
        <f t="shared" si="56"/>
        <v>0</v>
      </c>
      <c r="W212" s="56" t="e">
        <f>IF(#REF!&gt;DATE(2010,9,30),ROUNDUP(ABS( V212/U212 ),3),ROUNDUP(ABS( (T212-T213)/T213 ),3))</f>
        <v>#REF!</v>
      </c>
      <c r="X212" s="49"/>
      <c r="Y212" s="49"/>
      <c r="Z212" s="49"/>
      <c r="AA212" s="49"/>
      <c r="AB212" s="16"/>
      <c r="AC212" s="46"/>
      <c r="AD212" s="46"/>
      <c r="AE212" s="50"/>
      <c r="AF212" s="51"/>
      <c r="AG212" s="62"/>
      <c r="AH212" s="17"/>
    </row>
    <row r="213" spans="1:34">
      <c r="A213" s="112"/>
      <c r="B213" s="113"/>
      <c r="C213" s="113"/>
      <c r="D213" s="114">
        <f t="shared" si="54"/>
        <v>0</v>
      </c>
      <c r="E213" s="19" t="e">
        <f t="shared" si="55"/>
        <v>#DIV/0!</v>
      </c>
      <c r="F213" s="16"/>
      <c r="G213" s="16"/>
      <c r="H213" s="16"/>
      <c r="I213" s="16"/>
      <c r="J213" s="16"/>
      <c r="K213" s="16" t="e">
        <f t="shared" si="57"/>
        <v>#DIV/0!</v>
      </c>
      <c r="L213" s="16"/>
      <c r="M213" s="104"/>
      <c r="N213" s="104"/>
      <c r="O213" s="47"/>
      <c r="P213" s="17"/>
      <c r="Q213" s="62"/>
      <c r="R213" s="17"/>
      <c r="S213" s="45"/>
      <c r="T213" s="48"/>
      <c r="U213" s="48"/>
      <c r="V213" s="18">
        <f t="shared" si="56"/>
        <v>0</v>
      </c>
      <c r="W213" s="56" t="e">
        <f>IF(#REF!&gt;DATE(2010,9,30),ROUNDUP(ABS( V213/U213 ),3),ROUNDUP(ABS( (T213-T214)/T214 ),3))</f>
        <v>#REF!</v>
      </c>
      <c r="X213" s="49"/>
      <c r="Y213" s="49"/>
      <c r="Z213" s="49"/>
      <c r="AA213" s="49"/>
      <c r="AB213" s="16"/>
      <c r="AC213" s="46"/>
      <c r="AD213" s="46"/>
      <c r="AE213" s="50"/>
      <c r="AF213" s="51"/>
      <c r="AG213" s="62"/>
      <c r="AH213" s="17"/>
    </row>
    <row r="214" spans="1:34">
      <c r="A214" s="112"/>
      <c r="B214" s="113"/>
      <c r="C214" s="113"/>
      <c r="D214" s="114">
        <f t="shared" si="54"/>
        <v>0</v>
      </c>
      <c r="E214" s="19" t="e">
        <f t="shared" si="55"/>
        <v>#DIV/0!</v>
      </c>
      <c r="F214" s="16"/>
      <c r="G214" s="16"/>
      <c r="H214" s="16"/>
      <c r="I214" s="16"/>
      <c r="J214" s="16"/>
      <c r="K214" s="16" t="e">
        <f t="shared" si="57"/>
        <v>#DIV/0!</v>
      </c>
      <c r="L214" s="16"/>
      <c r="M214" s="104"/>
      <c r="N214" s="104"/>
      <c r="O214" s="47"/>
      <c r="P214" s="17"/>
      <c r="Q214" s="62"/>
      <c r="R214" s="17"/>
      <c r="S214" s="45"/>
      <c r="T214" s="48"/>
      <c r="U214" s="48"/>
      <c r="V214" s="18">
        <f t="shared" si="56"/>
        <v>0</v>
      </c>
      <c r="W214" s="56" t="e">
        <f>IF(#REF!&gt;DATE(2010,9,30),ROUNDUP(ABS( V214/U214 ),3),ROUNDUP(ABS( (T214-T215)/T215 ),3))</f>
        <v>#REF!</v>
      </c>
      <c r="X214" s="49"/>
      <c r="Y214" s="49"/>
      <c r="Z214" s="49"/>
      <c r="AA214" s="49"/>
      <c r="AB214" s="16"/>
      <c r="AC214" s="46"/>
      <c r="AD214" s="46"/>
      <c r="AE214" s="50"/>
      <c r="AF214" s="51"/>
      <c r="AG214" s="62"/>
      <c r="AH214" s="17"/>
    </row>
    <row r="215" spans="1:34">
      <c r="A215" s="112"/>
      <c r="B215" s="113"/>
      <c r="C215" s="113"/>
      <c r="D215" s="114">
        <f t="shared" si="54"/>
        <v>0</v>
      </c>
      <c r="E215" s="19" t="e">
        <f t="shared" si="55"/>
        <v>#DIV/0!</v>
      </c>
      <c r="F215" s="16"/>
      <c r="G215" s="16"/>
      <c r="H215" s="16"/>
      <c r="I215" s="16"/>
      <c r="J215" s="16"/>
      <c r="K215" s="16" t="e">
        <f t="shared" si="57"/>
        <v>#DIV/0!</v>
      </c>
      <c r="L215" s="16"/>
      <c r="M215" s="104"/>
      <c r="N215" s="104"/>
      <c r="O215" s="47"/>
      <c r="P215" s="17"/>
      <c r="Q215" s="62"/>
      <c r="R215" s="17"/>
      <c r="S215" s="45"/>
      <c r="T215" s="48"/>
      <c r="U215" s="48"/>
      <c r="V215" s="18">
        <f t="shared" si="56"/>
        <v>0</v>
      </c>
      <c r="W215" s="56" t="e">
        <f>IF(#REF!&gt;DATE(2010,9,30),ROUNDUP(ABS( V215/U215 ),3),ROUNDUP(ABS( (T215-T216)/T216 ),3))</f>
        <v>#REF!</v>
      </c>
      <c r="X215" s="49"/>
      <c r="Y215" s="49"/>
      <c r="Z215" s="49"/>
      <c r="AA215" s="49"/>
      <c r="AB215" s="16"/>
      <c r="AC215" s="46"/>
      <c r="AD215" s="46"/>
      <c r="AE215" s="50"/>
      <c r="AF215" s="51"/>
      <c r="AG215" s="62"/>
      <c r="AH215" s="17"/>
    </row>
    <row r="216" spans="1:34">
      <c r="A216" s="112"/>
      <c r="B216" s="113"/>
      <c r="C216" s="113"/>
      <c r="D216" s="114">
        <f t="shared" si="54"/>
        <v>0</v>
      </c>
      <c r="E216" s="19" t="e">
        <f t="shared" si="55"/>
        <v>#DIV/0!</v>
      </c>
      <c r="F216" s="16"/>
      <c r="G216" s="16"/>
      <c r="H216" s="16"/>
      <c r="I216" s="16"/>
      <c r="J216" s="16"/>
      <c r="K216" s="16" t="e">
        <f t="shared" si="57"/>
        <v>#DIV/0!</v>
      </c>
      <c r="L216" s="16"/>
      <c r="M216" s="104"/>
      <c r="N216" s="104"/>
      <c r="O216" s="47"/>
      <c r="P216" s="17"/>
      <c r="Q216" s="62"/>
      <c r="R216" s="17"/>
      <c r="S216" s="45"/>
      <c r="T216" s="48"/>
      <c r="U216" s="48"/>
      <c r="V216" s="18">
        <f t="shared" si="56"/>
        <v>0</v>
      </c>
      <c r="W216" s="56" t="e">
        <f>IF(#REF!&gt;DATE(2010,9,30),ROUNDUP(ABS( V216/U216 ),3),ROUNDUP(ABS( (T216-T217)/T217 ),3))</f>
        <v>#REF!</v>
      </c>
      <c r="X216" s="49"/>
      <c r="Y216" s="49"/>
      <c r="Z216" s="49"/>
      <c r="AA216" s="49"/>
      <c r="AB216" s="16"/>
      <c r="AC216" s="46"/>
      <c r="AD216" s="46"/>
      <c r="AE216" s="50"/>
      <c r="AF216" s="51"/>
      <c r="AG216" s="62"/>
      <c r="AH216" s="17"/>
    </row>
    <row r="217" spans="1:34">
      <c r="A217" s="112"/>
      <c r="B217" s="113"/>
      <c r="C217" s="113"/>
      <c r="D217" s="114">
        <f t="shared" si="54"/>
        <v>0</v>
      </c>
      <c r="E217" s="19" t="e">
        <f t="shared" si="55"/>
        <v>#DIV/0!</v>
      </c>
      <c r="F217" s="16"/>
      <c r="G217" s="16"/>
      <c r="H217" s="16"/>
      <c r="I217" s="16"/>
      <c r="J217" s="16"/>
      <c r="K217" s="16" t="e">
        <f t="shared" si="57"/>
        <v>#DIV/0!</v>
      </c>
      <c r="L217" s="16"/>
      <c r="M217" s="104"/>
      <c r="N217" s="104"/>
      <c r="O217" s="47"/>
      <c r="P217" s="17"/>
      <c r="Q217" s="62"/>
      <c r="R217" s="17"/>
      <c r="S217" s="45"/>
      <c r="T217" s="48"/>
      <c r="U217" s="48"/>
      <c r="V217" s="18">
        <f t="shared" si="56"/>
        <v>0</v>
      </c>
      <c r="W217" s="56" t="e">
        <f>IF(#REF!&gt;DATE(2010,9,30),ROUNDUP(ABS( V217/U217 ),3),ROUNDUP(ABS( (T217-T218)/T218 ),3))</f>
        <v>#REF!</v>
      </c>
      <c r="X217" s="49"/>
      <c r="Y217" s="49"/>
      <c r="Z217" s="49"/>
      <c r="AA217" s="49"/>
      <c r="AB217" s="16"/>
      <c r="AC217" s="46"/>
      <c r="AD217" s="46"/>
      <c r="AE217" s="50"/>
      <c r="AF217" s="51"/>
      <c r="AG217" s="62"/>
      <c r="AH217" s="17"/>
    </row>
    <row r="218" spans="1:34">
      <c r="A218" s="112"/>
      <c r="B218" s="113"/>
      <c r="C218" s="113"/>
      <c r="D218" s="114">
        <f t="shared" si="54"/>
        <v>0</v>
      </c>
      <c r="E218" s="19" t="e">
        <f t="shared" si="55"/>
        <v>#DIV/0!</v>
      </c>
      <c r="F218" s="16"/>
      <c r="G218" s="16"/>
      <c r="H218" s="16"/>
      <c r="I218" s="16"/>
      <c r="J218" s="16"/>
      <c r="K218" s="16" t="e">
        <f t="shared" si="57"/>
        <v>#DIV/0!</v>
      </c>
      <c r="L218" s="16"/>
      <c r="M218" s="104"/>
      <c r="N218" s="104"/>
      <c r="O218" s="47"/>
      <c r="P218" s="17"/>
      <c r="Q218" s="62"/>
      <c r="R218" s="17"/>
      <c r="S218" s="45"/>
      <c r="T218" s="48"/>
      <c r="U218" s="48"/>
      <c r="V218" s="18">
        <f t="shared" si="56"/>
        <v>0</v>
      </c>
      <c r="W218" s="56" t="e">
        <f>IF(#REF!&gt;DATE(2010,9,30),ROUNDUP(ABS( V218/U218 ),3),ROUNDUP(ABS( (T218-T219)/T219 ),3))</f>
        <v>#REF!</v>
      </c>
      <c r="X218" s="49"/>
      <c r="Y218" s="49"/>
      <c r="Z218" s="49"/>
      <c r="AA218" s="49"/>
      <c r="AB218" s="16"/>
      <c r="AC218" s="46"/>
      <c r="AD218" s="46"/>
      <c r="AE218" s="50"/>
      <c r="AF218" s="51"/>
      <c r="AG218" s="62"/>
      <c r="AH218" s="17"/>
    </row>
    <row r="219" spans="1:34">
      <c r="A219" s="112"/>
      <c r="B219" s="113"/>
      <c r="C219" s="113"/>
      <c r="D219" s="114">
        <f t="shared" si="54"/>
        <v>0</v>
      </c>
      <c r="E219" s="19" t="e">
        <f t="shared" si="55"/>
        <v>#DIV/0!</v>
      </c>
      <c r="F219" s="16"/>
      <c r="G219" s="16"/>
      <c r="H219" s="16"/>
      <c r="I219" s="16"/>
      <c r="J219" s="16"/>
      <c r="K219" s="16" t="e">
        <f t="shared" si="57"/>
        <v>#DIV/0!</v>
      </c>
      <c r="L219" s="16"/>
      <c r="M219" s="104"/>
      <c r="N219" s="104"/>
      <c r="O219" s="47"/>
      <c r="P219" s="17"/>
      <c r="Q219" s="62"/>
      <c r="R219" s="17"/>
      <c r="S219" s="45"/>
      <c r="T219" s="48"/>
      <c r="U219" s="48"/>
      <c r="V219" s="18">
        <f t="shared" si="56"/>
        <v>0</v>
      </c>
      <c r="W219" s="56" t="e">
        <f>IF(#REF!&gt;DATE(2010,9,30),ROUNDUP(ABS( V219/U219 ),3),ROUNDUP(ABS( (T219-T220)/T220 ),3))</f>
        <v>#REF!</v>
      </c>
      <c r="X219" s="49"/>
      <c r="Y219" s="49"/>
      <c r="Z219" s="49"/>
      <c r="AA219" s="49"/>
      <c r="AB219" s="16"/>
      <c r="AC219" s="46"/>
      <c r="AD219" s="46"/>
      <c r="AE219" s="50"/>
      <c r="AF219" s="51"/>
      <c r="AG219" s="62"/>
      <c r="AH219" s="17"/>
    </row>
    <row r="220" spans="1:34">
      <c r="A220" s="112"/>
      <c r="B220" s="113"/>
      <c r="C220" s="113"/>
      <c r="D220" s="114">
        <f t="shared" si="54"/>
        <v>0</v>
      </c>
      <c r="E220" s="19" t="e">
        <f t="shared" si="55"/>
        <v>#DIV/0!</v>
      </c>
      <c r="F220" s="16"/>
      <c r="G220" s="16"/>
      <c r="H220" s="16"/>
      <c r="I220" s="16"/>
      <c r="J220" s="16"/>
      <c r="K220" s="16" t="e">
        <f t="shared" si="57"/>
        <v>#DIV/0!</v>
      </c>
      <c r="L220" s="16"/>
      <c r="M220" s="104"/>
      <c r="N220" s="104"/>
      <c r="O220" s="47"/>
      <c r="P220" s="17"/>
      <c r="Q220" s="62"/>
      <c r="R220" s="17"/>
      <c r="S220" s="45"/>
      <c r="T220" s="48"/>
      <c r="U220" s="48"/>
      <c r="V220" s="18">
        <f t="shared" si="56"/>
        <v>0</v>
      </c>
      <c r="W220" s="56" t="e">
        <f>IF(#REF!&gt;DATE(2010,9,30),ROUNDUP(ABS( V220/U220 ),3),ROUNDUP(ABS( (T220-T221)/T221 ),3))</f>
        <v>#REF!</v>
      </c>
      <c r="X220" s="49"/>
      <c r="Y220" s="49"/>
      <c r="Z220" s="49"/>
      <c r="AA220" s="49"/>
      <c r="AB220" s="16"/>
      <c r="AC220" s="46"/>
      <c r="AD220" s="46"/>
      <c r="AE220" s="50"/>
      <c r="AF220" s="51"/>
      <c r="AG220" s="62"/>
      <c r="AH220" s="17"/>
    </row>
    <row r="221" spans="1:34">
      <c r="A221" s="112"/>
      <c r="B221" s="113"/>
      <c r="C221" s="113"/>
      <c r="D221" s="114">
        <f t="shared" si="54"/>
        <v>0</v>
      </c>
      <c r="E221" s="19" t="e">
        <f t="shared" si="55"/>
        <v>#DIV/0!</v>
      </c>
      <c r="F221" s="16"/>
      <c r="G221" s="16"/>
      <c r="H221" s="16"/>
      <c r="I221" s="16"/>
      <c r="J221" s="16"/>
      <c r="K221" s="16" t="e">
        <f t="shared" si="57"/>
        <v>#DIV/0!</v>
      </c>
      <c r="L221" s="16"/>
      <c r="M221" s="104"/>
      <c r="N221" s="104"/>
      <c r="O221" s="47"/>
      <c r="P221" s="17"/>
      <c r="Q221" s="62"/>
      <c r="R221" s="17"/>
      <c r="S221" s="45"/>
      <c r="T221" s="48"/>
      <c r="U221" s="48"/>
      <c r="V221" s="18">
        <f t="shared" si="56"/>
        <v>0</v>
      </c>
      <c r="W221" s="56" t="e">
        <f>IF(#REF!&gt;DATE(2010,9,30),ROUNDUP(ABS( V221/U221 ),3),ROUNDUP(ABS( (T221-T222)/T222 ),3))</f>
        <v>#REF!</v>
      </c>
      <c r="X221" s="49"/>
      <c r="Y221" s="49"/>
      <c r="Z221" s="49"/>
      <c r="AA221" s="49"/>
      <c r="AB221" s="16"/>
      <c r="AC221" s="46"/>
      <c r="AD221" s="46"/>
      <c r="AE221" s="50"/>
      <c r="AF221" s="51"/>
      <c r="AG221" s="62"/>
      <c r="AH221" s="17"/>
    </row>
    <row r="222" spans="1:34">
      <c r="A222" s="112"/>
      <c r="B222" s="113"/>
      <c r="C222" s="113"/>
      <c r="D222" s="114">
        <f t="shared" si="54"/>
        <v>0</v>
      </c>
      <c r="E222" s="19" t="e">
        <f t="shared" si="55"/>
        <v>#DIV/0!</v>
      </c>
      <c r="F222" s="16"/>
      <c r="G222" s="16"/>
      <c r="H222" s="16"/>
      <c r="I222" s="16"/>
      <c r="J222" s="16"/>
      <c r="K222" s="16" t="e">
        <f t="shared" si="57"/>
        <v>#DIV/0!</v>
      </c>
      <c r="L222" s="16"/>
      <c r="M222" s="104"/>
      <c r="N222" s="104"/>
      <c r="O222" s="47"/>
      <c r="P222" s="17"/>
      <c r="Q222" s="62"/>
      <c r="R222" s="17"/>
      <c r="S222" s="45"/>
      <c r="T222" s="48"/>
      <c r="U222" s="48"/>
      <c r="V222" s="18">
        <f t="shared" si="56"/>
        <v>0</v>
      </c>
      <c r="W222" s="56" t="e">
        <f>IF(#REF!&gt;DATE(2010,9,30),ROUNDUP(ABS( V222/U222 ),3),ROUNDUP(ABS( (T222-T223)/T223 ),3))</f>
        <v>#REF!</v>
      </c>
      <c r="X222" s="49"/>
      <c r="Y222" s="49"/>
      <c r="Z222" s="49"/>
      <c r="AA222" s="49"/>
      <c r="AB222" s="16"/>
      <c r="AC222" s="46"/>
      <c r="AD222" s="46"/>
      <c r="AE222" s="50"/>
      <c r="AF222" s="51"/>
      <c r="AG222" s="62"/>
      <c r="AH222" s="17"/>
    </row>
    <row r="223" spans="1:34">
      <c r="A223" s="112"/>
      <c r="B223" s="113"/>
      <c r="C223" s="113"/>
      <c r="D223" s="114">
        <f t="shared" si="54"/>
        <v>0</v>
      </c>
      <c r="E223" s="19" t="e">
        <f t="shared" si="55"/>
        <v>#DIV/0!</v>
      </c>
      <c r="F223" s="16"/>
      <c r="G223" s="16"/>
      <c r="H223" s="16"/>
      <c r="I223" s="16"/>
      <c r="J223" s="16"/>
      <c r="K223" s="16" t="e">
        <f t="shared" si="57"/>
        <v>#DIV/0!</v>
      </c>
      <c r="L223" s="16"/>
      <c r="M223" s="104"/>
      <c r="N223" s="104"/>
      <c r="O223" s="47"/>
      <c r="P223" s="17"/>
      <c r="Q223" s="62"/>
      <c r="R223" s="17"/>
      <c r="S223" s="45"/>
      <c r="T223" s="48"/>
      <c r="U223" s="48"/>
      <c r="V223" s="18">
        <f t="shared" si="56"/>
        <v>0</v>
      </c>
      <c r="W223" s="56" t="e">
        <f>IF(#REF!&gt;DATE(2010,9,30),ROUNDUP(ABS( V223/U223 ),3),ROUNDUP(ABS( (T223-T224)/T224 ),3))</f>
        <v>#REF!</v>
      </c>
      <c r="X223" s="49"/>
      <c r="Y223" s="49"/>
      <c r="Z223" s="49"/>
      <c r="AA223" s="49"/>
      <c r="AB223" s="16"/>
      <c r="AC223" s="46"/>
      <c r="AD223" s="46"/>
      <c r="AE223" s="50"/>
      <c r="AF223" s="51"/>
      <c r="AG223" s="62"/>
      <c r="AH223" s="17"/>
    </row>
    <row r="224" spans="1:34">
      <c r="A224" s="112"/>
      <c r="B224" s="113"/>
      <c r="C224" s="113"/>
      <c r="D224" s="114">
        <f t="shared" si="54"/>
        <v>0</v>
      </c>
      <c r="E224" s="19" t="e">
        <f t="shared" si="55"/>
        <v>#DIV/0!</v>
      </c>
      <c r="F224" s="16"/>
      <c r="G224" s="16"/>
      <c r="H224" s="16"/>
      <c r="I224" s="16"/>
      <c r="J224" s="16"/>
      <c r="K224" s="16" t="e">
        <f t="shared" si="57"/>
        <v>#DIV/0!</v>
      </c>
      <c r="L224" s="16"/>
      <c r="M224" s="104"/>
      <c r="N224" s="104"/>
      <c r="O224" s="47"/>
      <c r="P224" s="17"/>
      <c r="Q224" s="62"/>
      <c r="R224" s="17"/>
      <c r="S224" s="45"/>
      <c r="T224" s="48"/>
      <c r="U224" s="48"/>
      <c r="V224" s="18">
        <f t="shared" si="56"/>
        <v>0</v>
      </c>
      <c r="W224" s="56" t="e">
        <f>IF(#REF!&gt;DATE(2010,9,30),ROUNDUP(ABS( V224/U224 ),3),ROUNDUP(ABS( (T224-T225)/T225 ),3))</f>
        <v>#REF!</v>
      </c>
      <c r="X224" s="49"/>
      <c r="Y224" s="49"/>
      <c r="Z224" s="49"/>
      <c r="AA224" s="49"/>
      <c r="AB224" s="16"/>
      <c r="AC224" s="46"/>
      <c r="AD224" s="46"/>
      <c r="AE224" s="50"/>
      <c r="AF224" s="51"/>
      <c r="AG224" s="62"/>
      <c r="AH224" s="17"/>
    </row>
    <row r="225" spans="1:34">
      <c r="A225" s="112"/>
      <c r="B225" s="113"/>
      <c r="C225" s="113"/>
      <c r="D225" s="114">
        <f t="shared" si="54"/>
        <v>0</v>
      </c>
      <c r="E225" s="19" t="e">
        <f t="shared" si="55"/>
        <v>#DIV/0!</v>
      </c>
      <c r="F225" s="16"/>
      <c r="G225" s="16"/>
      <c r="H225" s="16"/>
      <c r="I225" s="16"/>
      <c r="J225" s="16"/>
      <c r="K225" s="16" t="e">
        <f t="shared" si="57"/>
        <v>#DIV/0!</v>
      </c>
      <c r="L225" s="16"/>
      <c r="M225" s="104"/>
      <c r="N225" s="104"/>
      <c r="O225" s="47"/>
      <c r="P225" s="17"/>
      <c r="Q225" s="62"/>
      <c r="R225" s="17"/>
      <c r="S225" s="45"/>
      <c r="T225" s="48"/>
      <c r="U225" s="48"/>
      <c r="V225" s="18">
        <f t="shared" si="56"/>
        <v>0</v>
      </c>
      <c r="W225" s="56" t="e">
        <f>IF(#REF!&gt;DATE(2010,9,30),ROUNDUP(ABS( V225/U225 ),3),ROUNDUP(ABS( (T225-T226)/T226 ),3))</f>
        <v>#REF!</v>
      </c>
      <c r="X225" s="49"/>
      <c r="Y225" s="49"/>
      <c r="Z225" s="49"/>
      <c r="AA225" s="49"/>
      <c r="AB225" s="16"/>
      <c r="AC225" s="46"/>
      <c r="AD225" s="46"/>
      <c r="AE225" s="50"/>
      <c r="AF225" s="51"/>
      <c r="AG225" s="62"/>
      <c r="AH225" s="17"/>
    </row>
    <row r="226" spans="1:34">
      <c r="A226" s="112"/>
      <c r="B226" s="113"/>
      <c r="C226" s="113"/>
      <c r="D226" s="114">
        <f t="shared" si="54"/>
        <v>0</v>
      </c>
      <c r="E226" s="19" t="e">
        <f t="shared" si="55"/>
        <v>#DIV/0!</v>
      </c>
      <c r="F226" s="16"/>
      <c r="G226" s="16"/>
      <c r="H226" s="16"/>
      <c r="I226" s="16"/>
      <c r="J226" s="16"/>
      <c r="K226" s="16" t="e">
        <f t="shared" si="57"/>
        <v>#DIV/0!</v>
      </c>
      <c r="L226" s="16"/>
      <c r="M226" s="104"/>
      <c r="N226" s="104"/>
      <c r="O226" s="47"/>
      <c r="P226" s="17"/>
      <c r="Q226" s="62"/>
      <c r="R226" s="17"/>
      <c r="S226" s="45"/>
      <c r="T226" s="48"/>
      <c r="U226" s="48"/>
      <c r="V226" s="18">
        <f t="shared" si="56"/>
        <v>0</v>
      </c>
      <c r="W226" s="56" t="e">
        <f>IF(#REF!&gt;DATE(2010,9,30),ROUNDUP(ABS( V226/U226 ),3),ROUNDUP(ABS( (T226-T227)/T227 ),3))</f>
        <v>#REF!</v>
      </c>
      <c r="X226" s="49"/>
      <c r="Y226" s="49"/>
      <c r="Z226" s="49"/>
      <c r="AA226" s="49"/>
      <c r="AB226" s="16"/>
      <c r="AC226" s="46"/>
      <c r="AD226" s="46"/>
      <c r="AE226" s="50"/>
      <c r="AF226" s="51"/>
      <c r="AG226" s="62"/>
      <c r="AH226" s="17"/>
    </row>
    <row r="227" spans="1:34">
      <c r="A227" s="112"/>
      <c r="B227" s="113"/>
      <c r="C227" s="113"/>
      <c r="D227" s="114">
        <f t="shared" si="54"/>
        <v>0</v>
      </c>
      <c r="E227" s="19" t="e">
        <f t="shared" si="55"/>
        <v>#DIV/0!</v>
      </c>
      <c r="F227" s="16"/>
      <c r="G227" s="16"/>
      <c r="H227" s="16"/>
      <c r="I227" s="16"/>
      <c r="J227" s="16"/>
      <c r="K227" s="16" t="e">
        <f t="shared" si="57"/>
        <v>#DIV/0!</v>
      </c>
      <c r="L227" s="16"/>
      <c r="M227" s="104"/>
      <c r="N227" s="104"/>
      <c r="O227" s="47"/>
      <c r="P227" s="17"/>
      <c r="Q227" s="62"/>
      <c r="R227" s="17"/>
      <c r="S227" s="45"/>
      <c r="T227" s="48"/>
      <c r="U227" s="48"/>
      <c r="V227" s="18">
        <f t="shared" si="56"/>
        <v>0</v>
      </c>
      <c r="W227" s="56" t="e">
        <f>IF(#REF!&gt;DATE(2010,9,30),ROUNDUP(ABS( V227/U227 ),3),ROUNDUP(ABS( (T227-T228)/T228 ),3))</f>
        <v>#REF!</v>
      </c>
      <c r="X227" s="49"/>
      <c r="Y227" s="49"/>
      <c r="Z227" s="49"/>
      <c r="AA227" s="49"/>
      <c r="AB227" s="16"/>
      <c r="AC227" s="46"/>
      <c r="AD227" s="46"/>
      <c r="AE227" s="50"/>
      <c r="AF227" s="51"/>
      <c r="AG227" s="62"/>
      <c r="AH227" s="17"/>
    </row>
    <row r="228" spans="1:34" s="29" customFormat="1">
      <c r="A228" s="112"/>
      <c r="B228" s="113"/>
      <c r="C228" s="113"/>
      <c r="D228" s="114">
        <f t="shared" si="54"/>
        <v>0</v>
      </c>
      <c r="E228" s="19" t="e">
        <f t="shared" si="55"/>
        <v>#DIV/0!</v>
      </c>
      <c r="F228" s="16"/>
      <c r="G228" s="16"/>
      <c r="H228" s="16"/>
      <c r="I228" s="16"/>
      <c r="J228" s="16"/>
      <c r="K228" s="16" t="e">
        <f t="shared" si="57"/>
        <v>#DIV/0!</v>
      </c>
      <c r="L228" s="16"/>
      <c r="M228" s="104"/>
      <c r="N228" s="104"/>
      <c r="O228" s="47"/>
      <c r="P228" s="17"/>
      <c r="Q228" s="62"/>
      <c r="R228" s="17"/>
      <c r="S228" s="53"/>
      <c r="T228" s="48"/>
      <c r="U228" s="48"/>
      <c r="V228" s="18">
        <f t="shared" si="56"/>
        <v>0</v>
      </c>
      <c r="W228" s="56" t="e">
        <f>IF(#REF!&gt;DATE(2010,9,30),ROUNDUP(ABS( V228/U228 ),3),ROUNDUP(ABS( (T228-T229)/T229 ),3))</f>
        <v>#REF!</v>
      </c>
      <c r="X228" s="49"/>
      <c r="Y228" s="49"/>
      <c r="Z228" s="49"/>
      <c r="AA228" s="49"/>
      <c r="AB228" s="16"/>
      <c r="AC228" s="46"/>
      <c r="AD228" s="46"/>
      <c r="AE228" s="50"/>
      <c r="AF228" s="51"/>
      <c r="AG228" s="62"/>
      <c r="AH228" s="17"/>
    </row>
    <row r="229" spans="1:34">
      <c r="A229" s="112"/>
      <c r="B229" s="113"/>
      <c r="C229" s="113"/>
      <c r="D229" s="114">
        <f t="shared" si="54"/>
        <v>0</v>
      </c>
      <c r="E229" s="19" t="e">
        <f t="shared" si="55"/>
        <v>#DIV/0!</v>
      </c>
      <c r="F229" s="16"/>
      <c r="G229" s="16"/>
      <c r="H229" s="16"/>
      <c r="I229" s="16"/>
      <c r="J229" s="16"/>
      <c r="K229" s="16" t="e">
        <f t="shared" si="57"/>
        <v>#DIV/0!</v>
      </c>
      <c r="L229" s="16"/>
      <c r="M229" s="104"/>
      <c r="N229" s="104"/>
      <c r="O229" s="47"/>
      <c r="P229" s="17"/>
      <c r="Q229" s="62"/>
      <c r="R229" s="17"/>
      <c r="S229" s="45"/>
      <c r="T229" s="48"/>
      <c r="U229" s="48"/>
      <c r="V229" s="18">
        <f t="shared" si="56"/>
        <v>0</v>
      </c>
      <c r="W229" s="56" t="e">
        <f>IF(#REF!&gt;DATE(2010,9,30),ROUNDUP(ABS( V229/U229 ),3),ROUNDUP(ABS( (T229-T230)/T230 ),3))</f>
        <v>#REF!</v>
      </c>
      <c r="X229" s="49"/>
      <c r="Y229" s="49"/>
      <c r="Z229" s="49"/>
      <c r="AA229" s="49"/>
      <c r="AB229" s="16"/>
      <c r="AC229" s="46"/>
      <c r="AD229" s="46"/>
      <c r="AE229" s="50"/>
      <c r="AF229" s="51"/>
      <c r="AG229" s="62"/>
      <c r="AH229" s="17"/>
    </row>
    <row r="230" spans="1:34">
      <c r="A230" s="112"/>
      <c r="B230" s="113"/>
      <c r="C230" s="113"/>
      <c r="D230" s="114">
        <f t="shared" si="54"/>
        <v>0</v>
      </c>
      <c r="E230" s="19" t="e">
        <f t="shared" si="55"/>
        <v>#DIV/0!</v>
      </c>
      <c r="F230" s="16"/>
      <c r="G230" s="16"/>
      <c r="H230" s="16"/>
      <c r="I230" s="16"/>
      <c r="J230" s="16"/>
      <c r="K230" s="16" t="e">
        <f t="shared" si="57"/>
        <v>#DIV/0!</v>
      </c>
      <c r="L230" s="16"/>
      <c r="M230" s="104"/>
      <c r="N230" s="104"/>
      <c r="O230" s="47"/>
      <c r="P230" s="17"/>
      <c r="Q230" s="62"/>
      <c r="R230" s="17"/>
      <c r="S230" s="45"/>
      <c r="T230" s="48"/>
      <c r="U230" s="48"/>
      <c r="V230" s="18">
        <f t="shared" si="56"/>
        <v>0</v>
      </c>
      <c r="W230" s="56" t="e">
        <f>IF(#REF!&gt;DATE(2010,9,30),ROUNDUP(ABS( V230/U230 ),3),ROUNDUP(ABS( (T230-T231)/T231 ),3))</f>
        <v>#REF!</v>
      </c>
      <c r="X230" s="49"/>
      <c r="Y230" s="49"/>
      <c r="Z230" s="49"/>
      <c r="AA230" s="49"/>
      <c r="AB230" s="16"/>
      <c r="AC230" s="46"/>
      <c r="AD230" s="46"/>
      <c r="AE230" s="50"/>
      <c r="AF230" s="51"/>
      <c r="AG230" s="62"/>
      <c r="AH230" s="17"/>
    </row>
    <row r="231" spans="1:34">
      <c r="A231" s="112"/>
      <c r="B231" s="113"/>
      <c r="C231" s="113"/>
      <c r="D231" s="114">
        <f t="shared" si="54"/>
        <v>0</v>
      </c>
      <c r="E231" s="19" t="e">
        <f t="shared" si="55"/>
        <v>#DIV/0!</v>
      </c>
      <c r="F231" s="16"/>
      <c r="G231" s="16"/>
      <c r="H231" s="16"/>
      <c r="I231" s="16"/>
      <c r="J231" s="16"/>
      <c r="K231" s="16" t="e">
        <f t="shared" si="57"/>
        <v>#DIV/0!</v>
      </c>
      <c r="L231" s="16"/>
      <c r="M231" s="104"/>
      <c r="N231" s="104"/>
      <c r="O231" s="47"/>
      <c r="P231" s="17"/>
      <c r="Q231" s="62"/>
      <c r="R231" s="17"/>
      <c r="S231" s="45"/>
      <c r="T231" s="48"/>
      <c r="U231" s="48"/>
      <c r="V231" s="18">
        <f t="shared" si="56"/>
        <v>0</v>
      </c>
      <c r="W231" s="56" t="e">
        <f>IF(#REF!&gt;DATE(2010,9,30),ROUNDUP(ABS( V231/U231 ),3),ROUNDUP(ABS( (T231-T232)/T232 ),3))</f>
        <v>#REF!</v>
      </c>
      <c r="X231" s="49"/>
      <c r="Y231" s="49"/>
      <c r="Z231" s="49"/>
      <c r="AA231" s="49"/>
      <c r="AB231" s="16"/>
      <c r="AC231" s="46"/>
      <c r="AD231" s="46"/>
      <c r="AE231" s="50"/>
      <c r="AF231" s="51"/>
      <c r="AG231" s="62"/>
      <c r="AH231" s="17"/>
    </row>
    <row r="232" spans="1:34">
      <c r="A232" s="112"/>
      <c r="B232" s="113"/>
      <c r="C232" s="113"/>
      <c r="D232" s="114">
        <f t="shared" si="54"/>
        <v>0</v>
      </c>
      <c r="E232" s="19" t="e">
        <f t="shared" si="55"/>
        <v>#DIV/0!</v>
      </c>
      <c r="F232" s="16"/>
      <c r="G232" s="16"/>
      <c r="H232" s="16"/>
      <c r="I232" s="16"/>
      <c r="J232" s="16"/>
      <c r="K232" s="16" t="e">
        <f t="shared" si="57"/>
        <v>#DIV/0!</v>
      </c>
      <c r="L232" s="16"/>
      <c r="M232" s="104"/>
      <c r="N232" s="104"/>
      <c r="O232" s="47"/>
      <c r="P232" s="17"/>
      <c r="Q232" s="62"/>
      <c r="R232" s="17"/>
      <c r="S232" s="45"/>
      <c r="T232" s="48"/>
      <c r="U232" s="48"/>
      <c r="V232" s="18">
        <f t="shared" si="56"/>
        <v>0</v>
      </c>
      <c r="W232" s="56" t="e">
        <f>IF(#REF!&gt;DATE(2010,9,30),ROUNDUP(ABS( V232/U232 ),3),ROUNDUP(ABS( (T232-T233)/T233 ),3))</f>
        <v>#REF!</v>
      </c>
      <c r="X232" s="49"/>
      <c r="Y232" s="49"/>
      <c r="Z232" s="49"/>
      <c r="AA232" s="49"/>
      <c r="AB232" s="16"/>
      <c r="AC232" s="46"/>
      <c r="AD232" s="46"/>
      <c r="AE232" s="50"/>
      <c r="AF232" s="51"/>
      <c r="AG232" s="62"/>
      <c r="AH232" s="17"/>
    </row>
    <row r="233" spans="1:34">
      <c r="A233" s="112"/>
      <c r="B233" s="113"/>
      <c r="C233" s="113"/>
      <c r="D233" s="114">
        <f t="shared" si="54"/>
        <v>0</v>
      </c>
      <c r="E233" s="19" t="e">
        <f t="shared" si="55"/>
        <v>#DIV/0!</v>
      </c>
      <c r="F233" s="16"/>
      <c r="G233" s="16"/>
      <c r="H233" s="16"/>
      <c r="I233" s="16"/>
      <c r="J233" s="16"/>
      <c r="K233" s="16" t="e">
        <f t="shared" si="57"/>
        <v>#DIV/0!</v>
      </c>
      <c r="L233" s="16"/>
      <c r="M233" s="104"/>
      <c r="N233" s="104"/>
      <c r="O233" s="47"/>
      <c r="P233" s="17"/>
      <c r="Q233" s="62"/>
      <c r="R233" s="17"/>
      <c r="S233" s="45"/>
      <c r="T233" s="48"/>
      <c r="U233" s="48"/>
      <c r="V233" s="18">
        <f t="shared" si="56"/>
        <v>0</v>
      </c>
      <c r="W233" s="56" t="e">
        <f>IF(#REF!&gt;DATE(2010,9,30),ROUNDUP(ABS( V233/U233 ),3),ROUNDUP(ABS( (T233-T234)/T234 ),3))</f>
        <v>#REF!</v>
      </c>
      <c r="X233" s="49"/>
      <c r="Y233" s="49"/>
      <c r="Z233" s="49"/>
      <c r="AA233" s="49"/>
      <c r="AB233" s="16"/>
      <c r="AC233" s="46"/>
      <c r="AD233" s="46"/>
      <c r="AE233" s="50"/>
      <c r="AF233" s="51"/>
      <c r="AG233" s="62"/>
      <c r="AH233" s="17"/>
    </row>
    <row r="234" spans="1:34">
      <c r="A234" s="112"/>
      <c r="B234" s="113"/>
      <c r="C234" s="113"/>
      <c r="D234" s="114">
        <f t="shared" si="54"/>
        <v>0</v>
      </c>
      <c r="E234" s="19" t="e">
        <f t="shared" si="55"/>
        <v>#DIV/0!</v>
      </c>
      <c r="F234" s="16"/>
      <c r="G234" s="16"/>
      <c r="H234" s="16"/>
      <c r="I234" s="16"/>
      <c r="J234" s="16"/>
      <c r="K234" s="16" t="e">
        <f t="shared" si="57"/>
        <v>#DIV/0!</v>
      </c>
      <c r="L234" s="16"/>
      <c r="M234" s="104"/>
      <c r="N234" s="104"/>
      <c r="O234" s="47"/>
      <c r="P234" s="17"/>
      <c r="Q234" s="62"/>
      <c r="R234" s="17"/>
      <c r="S234" s="45"/>
      <c r="T234" s="48"/>
      <c r="U234" s="48"/>
      <c r="V234" s="18">
        <f t="shared" si="56"/>
        <v>0</v>
      </c>
      <c r="W234" s="56" t="e">
        <f>IF(#REF!&gt;DATE(2010,9,30),ROUNDUP(ABS( V234/U234 ),3),ROUNDUP(ABS( (T234-T235)/T235 ),3))</f>
        <v>#REF!</v>
      </c>
      <c r="X234" s="49"/>
      <c r="Y234" s="49"/>
      <c r="Z234" s="49"/>
      <c r="AA234" s="49"/>
      <c r="AB234" s="16"/>
      <c r="AC234" s="46"/>
      <c r="AD234" s="46"/>
      <c r="AE234" s="50"/>
      <c r="AF234" s="51"/>
      <c r="AG234" s="62"/>
      <c r="AH234" s="17"/>
    </row>
    <row r="235" spans="1:34">
      <c r="A235" s="112"/>
      <c r="B235" s="113"/>
      <c r="C235" s="113"/>
      <c r="D235" s="114">
        <f t="shared" si="54"/>
        <v>0</v>
      </c>
      <c r="E235" s="19" t="e">
        <f t="shared" si="55"/>
        <v>#DIV/0!</v>
      </c>
      <c r="F235" s="16"/>
      <c r="G235" s="16"/>
      <c r="H235" s="16"/>
      <c r="I235" s="16"/>
      <c r="J235" s="16"/>
      <c r="K235" s="16" t="e">
        <f t="shared" si="57"/>
        <v>#DIV/0!</v>
      </c>
      <c r="L235" s="16"/>
      <c r="M235" s="104"/>
      <c r="N235" s="104"/>
      <c r="O235" s="47"/>
      <c r="P235" s="17"/>
      <c r="Q235" s="62"/>
      <c r="R235" s="17"/>
      <c r="S235" s="45"/>
      <c r="T235" s="48"/>
      <c r="U235" s="48"/>
      <c r="V235" s="18">
        <f t="shared" si="56"/>
        <v>0</v>
      </c>
      <c r="W235" s="56" t="e">
        <f>IF(#REF!&gt;DATE(2010,9,30),ROUNDUP(ABS( V235/U235 ),3),ROUNDUP(ABS( (T235-T236)/T236 ),3))</f>
        <v>#REF!</v>
      </c>
      <c r="X235" s="49"/>
      <c r="Y235" s="49"/>
      <c r="Z235" s="49"/>
      <c r="AA235" s="49"/>
      <c r="AB235" s="16"/>
      <c r="AC235" s="46"/>
      <c r="AD235" s="46"/>
      <c r="AE235" s="50"/>
      <c r="AF235" s="51"/>
      <c r="AG235" s="62"/>
      <c r="AH235" s="17"/>
    </row>
    <row r="236" spans="1:34">
      <c r="A236" s="112"/>
      <c r="B236" s="113"/>
      <c r="C236" s="113"/>
      <c r="D236" s="114">
        <f t="shared" si="54"/>
        <v>0</v>
      </c>
      <c r="E236" s="19" t="e">
        <f t="shared" si="55"/>
        <v>#DIV/0!</v>
      </c>
      <c r="F236" s="16"/>
      <c r="G236" s="16"/>
      <c r="H236" s="16"/>
      <c r="I236" s="16"/>
      <c r="J236" s="16"/>
      <c r="K236" s="16" t="e">
        <f t="shared" si="57"/>
        <v>#DIV/0!</v>
      </c>
      <c r="L236" s="16"/>
      <c r="M236" s="104"/>
      <c r="N236" s="104"/>
      <c r="O236" s="47"/>
      <c r="P236" s="17"/>
      <c r="Q236" s="62"/>
      <c r="R236" s="17"/>
      <c r="S236" s="45"/>
      <c r="T236" s="48"/>
      <c r="U236" s="48"/>
      <c r="V236" s="18">
        <f t="shared" si="56"/>
        <v>0</v>
      </c>
      <c r="W236" s="56" t="e">
        <f>IF(#REF!&gt;DATE(2010,9,30),ROUNDUP(ABS( V236/U236 ),3),ROUNDUP(ABS( (T236-T237)/T237 ),3))</f>
        <v>#REF!</v>
      </c>
      <c r="X236" s="49"/>
      <c r="Y236" s="49"/>
      <c r="Z236" s="49"/>
      <c r="AA236" s="49"/>
      <c r="AB236" s="16"/>
      <c r="AC236" s="46"/>
      <c r="AD236" s="46"/>
      <c r="AE236" s="50"/>
      <c r="AF236" s="51"/>
      <c r="AG236" s="62"/>
      <c r="AH236" s="17"/>
    </row>
    <row r="237" spans="1:34">
      <c r="A237" s="112"/>
      <c r="B237" s="113"/>
      <c r="C237" s="113"/>
      <c r="D237" s="114">
        <f t="shared" si="54"/>
        <v>0</v>
      </c>
      <c r="E237" s="19" t="e">
        <f t="shared" si="55"/>
        <v>#DIV/0!</v>
      </c>
      <c r="F237" s="16"/>
      <c r="G237" s="16"/>
      <c r="H237" s="16"/>
      <c r="I237" s="16"/>
      <c r="J237" s="16"/>
      <c r="K237" s="16" t="e">
        <f t="shared" si="57"/>
        <v>#DIV/0!</v>
      </c>
      <c r="L237" s="16"/>
      <c r="M237" s="104"/>
      <c r="N237" s="104"/>
      <c r="O237" s="47"/>
      <c r="P237" s="17"/>
      <c r="Q237" s="62"/>
      <c r="R237" s="17"/>
      <c r="S237" s="45"/>
      <c r="T237" s="48"/>
      <c r="U237" s="48"/>
      <c r="V237" s="18">
        <f t="shared" si="56"/>
        <v>0</v>
      </c>
      <c r="W237" s="56" t="e">
        <f>IF(#REF!&gt;DATE(2010,9,30),ROUNDUP(ABS( V237/U237 ),3),ROUNDUP(ABS( (T237-T238)/T238 ),3))</f>
        <v>#REF!</v>
      </c>
      <c r="X237" s="49"/>
      <c r="Y237" s="49"/>
      <c r="Z237" s="49"/>
      <c r="AA237" s="49"/>
      <c r="AB237" s="16"/>
      <c r="AC237" s="46"/>
      <c r="AD237" s="46"/>
      <c r="AE237" s="50"/>
      <c r="AF237" s="51"/>
      <c r="AG237" s="62"/>
      <c r="AH237" s="17"/>
    </row>
    <row r="238" spans="1:34">
      <c r="A238" s="112"/>
      <c r="B238" s="113"/>
      <c r="C238" s="113"/>
      <c r="D238" s="114">
        <f t="shared" si="54"/>
        <v>0</v>
      </c>
      <c r="E238" s="19" t="e">
        <f t="shared" si="55"/>
        <v>#DIV/0!</v>
      </c>
      <c r="F238" s="16"/>
      <c r="G238" s="16"/>
      <c r="H238" s="16"/>
      <c r="I238" s="16"/>
      <c r="J238" s="16"/>
      <c r="K238" s="16" t="e">
        <f t="shared" si="57"/>
        <v>#DIV/0!</v>
      </c>
      <c r="L238" s="16"/>
      <c r="M238" s="104"/>
      <c r="N238" s="104"/>
      <c r="O238" s="47"/>
      <c r="P238" s="17"/>
      <c r="Q238" s="62"/>
      <c r="R238" s="17"/>
      <c r="S238" s="45"/>
      <c r="T238" s="48"/>
      <c r="U238" s="48"/>
      <c r="V238" s="18">
        <f t="shared" si="56"/>
        <v>0</v>
      </c>
      <c r="W238" s="56" t="e">
        <f>IF(#REF!&gt;DATE(2010,9,30),ROUNDUP(ABS( V238/U238 ),3),ROUNDUP(ABS( (T238-T239)/T239 ),3))</f>
        <v>#REF!</v>
      </c>
      <c r="X238" s="49"/>
      <c r="Y238" s="49"/>
      <c r="Z238" s="49"/>
      <c r="AA238" s="49"/>
      <c r="AB238" s="16"/>
      <c r="AC238" s="46"/>
      <c r="AD238" s="46"/>
      <c r="AE238" s="50"/>
      <c r="AF238" s="51"/>
      <c r="AG238" s="62"/>
      <c r="AH238" s="17"/>
    </row>
    <row r="239" spans="1:34">
      <c r="A239" s="112"/>
      <c r="B239" s="113"/>
      <c r="C239" s="113"/>
      <c r="D239" s="114">
        <f t="shared" si="54"/>
        <v>0</v>
      </c>
      <c r="E239" s="19" t="e">
        <f t="shared" si="55"/>
        <v>#DIV/0!</v>
      </c>
      <c r="F239" s="16"/>
      <c r="G239" s="16"/>
      <c r="H239" s="16"/>
      <c r="I239" s="16"/>
      <c r="J239" s="16"/>
      <c r="K239" s="16" t="e">
        <f t="shared" si="57"/>
        <v>#DIV/0!</v>
      </c>
      <c r="L239" s="16"/>
      <c r="M239" s="104"/>
      <c r="N239" s="104"/>
      <c r="O239" s="47"/>
      <c r="P239" s="17"/>
      <c r="Q239" s="62"/>
      <c r="R239" s="17"/>
      <c r="S239" s="45"/>
      <c r="T239" s="48"/>
      <c r="U239" s="48"/>
      <c r="V239" s="18">
        <f t="shared" si="56"/>
        <v>0</v>
      </c>
      <c r="W239" s="56" t="e">
        <f>IF(#REF!&gt;DATE(2010,9,30),ROUNDUP(ABS( V239/U239 ),3),ROUNDUP(ABS( (T239-T240)/T240 ),3))</f>
        <v>#REF!</v>
      </c>
      <c r="X239" s="49"/>
      <c r="Y239" s="49"/>
      <c r="Z239" s="49"/>
      <c r="AA239" s="49"/>
      <c r="AB239" s="16"/>
      <c r="AC239" s="46"/>
      <c r="AD239" s="46"/>
      <c r="AE239" s="50"/>
      <c r="AF239" s="51"/>
      <c r="AG239" s="62"/>
      <c r="AH239" s="17"/>
    </row>
    <row r="240" spans="1:34">
      <c r="A240" s="112"/>
      <c r="B240" s="113"/>
      <c r="C240" s="113"/>
      <c r="D240" s="114">
        <f t="shared" si="54"/>
        <v>0</v>
      </c>
      <c r="E240" s="19" t="e">
        <f t="shared" si="55"/>
        <v>#DIV/0!</v>
      </c>
      <c r="F240" s="16"/>
      <c r="G240" s="16"/>
      <c r="H240" s="16"/>
      <c r="I240" s="16"/>
      <c r="J240" s="16"/>
      <c r="K240" s="16" t="e">
        <f t="shared" si="57"/>
        <v>#DIV/0!</v>
      </c>
      <c r="L240" s="16"/>
      <c r="M240" s="104"/>
      <c r="N240" s="104"/>
      <c r="O240" s="47"/>
      <c r="P240" s="17"/>
      <c r="Q240" s="62"/>
      <c r="R240" s="17"/>
      <c r="S240" s="45"/>
      <c r="T240" s="48"/>
      <c r="U240" s="48"/>
      <c r="V240" s="18">
        <f t="shared" si="56"/>
        <v>0</v>
      </c>
      <c r="W240" s="56" t="e">
        <f>IF(#REF!&gt;DATE(2010,9,30),ROUNDUP(ABS( V240/U240 ),3),ROUNDUP(ABS( (T240-T241)/T241 ),3))</f>
        <v>#REF!</v>
      </c>
      <c r="X240" s="49"/>
      <c r="Y240" s="49"/>
      <c r="Z240" s="49"/>
      <c r="AA240" s="49"/>
      <c r="AB240" s="16"/>
      <c r="AC240" s="46"/>
      <c r="AD240" s="46"/>
      <c r="AE240" s="50"/>
      <c r="AF240" s="51"/>
      <c r="AG240" s="62"/>
      <c r="AH240" s="17"/>
    </row>
    <row r="241" spans="1:34">
      <c r="A241" s="112"/>
      <c r="B241" s="113"/>
      <c r="C241" s="113"/>
      <c r="D241" s="114">
        <f t="shared" si="54"/>
        <v>0</v>
      </c>
      <c r="E241" s="19" t="e">
        <f t="shared" si="55"/>
        <v>#DIV/0!</v>
      </c>
      <c r="F241" s="16"/>
      <c r="G241" s="16"/>
      <c r="H241" s="16"/>
      <c r="I241" s="16"/>
      <c r="J241" s="16"/>
      <c r="K241" s="16" t="e">
        <f t="shared" si="57"/>
        <v>#DIV/0!</v>
      </c>
      <c r="L241" s="16"/>
      <c r="M241" s="104"/>
      <c r="N241" s="104"/>
      <c r="O241" s="47"/>
      <c r="P241" s="17"/>
      <c r="Q241" s="62"/>
      <c r="R241" s="17"/>
      <c r="S241" s="45"/>
      <c r="T241" s="48"/>
      <c r="U241" s="48"/>
      <c r="V241" s="18">
        <f t="shared" si="56"/>
        <v>0</v>
      </c>
      <c r="W241" s="56" t="e">
        <f>IF(#REF!&gt;DATE(2010,9,30),ROUNDUP(ABS( V241/U241 ),3),ROUNDUP(ABS( (T241-T242)/T242 ),3))</f>
        <v>#REF!</v>
      </c>
      <c r="X241" s="49"/>
      <c r="Y241" s="49"/>
      <c r="Z241" s="49"/>
      <c r="AA241" s="49"/>
      <c r="AB241" s="16"/>
      <c r="AC241" s="46"/>
      <c r="AD241" s="46"/>
      <c r="AE241" s="50"/>
      <c r="AF241" s="51"/>
      <c r="AG241" s="62"/>
      <c r="AH241" s="17"/>
    </row>
    <row r="242" spans="1:34">
      <c r="A242" s="112"/>
      <c r="B242" s="113"/>
      <c r="C242" s="113"/>
      <c r="D242" s="114">
        <f t="shared" si="54"/>
        <v>0</v>
      </c>
      <c r="E242" s="19" t="e">
        <f t="shared" si="55"/>
        <v>#DIV/0!</v>
      </c>
      <c r="F242" s="16"/>
      <c r="G242" s="16"/>
      <c r="H242" s="16"/>
      <c r="I242" s="16"/>
      <c r="J242" s="16"/>
      <c r="K242" s="16" t="e">
        <f t="shared" si="57"/>
        <v>#DIV/0!</v>
      </c>
      <c r="L242" s="16"/>
      <c r="M242" s="104"/>
      <c r="N242" s="104"/>
      <c r="O242" s="47"/>
      <c r="P242" s="17"/>
      <c r="Q242" s="62"/>
      <c r="R242" s="17"/>
      <c r="S242" s="45"/>
      <c r="T242" s="48"/>
      <c r="U242" s="48"/>
      <c r="V242" s="18">
        <f t="shared" si="56"/>
        <v>0</v>
      </c>
      <c r="W242" s="56" t="e">
        <f>IF(#REF!&gt;DATE(2010,9,30),ROUNDUP(ABS( V242/U242 ),3),ROUNDUP(ABS( (T242-T243)/T243 ),3))</f>
        <v>#REF!</v>
      </c>
      <c r="X242" s="49"/>
      <c r="Y242" s="49"/>
      <c r="Z242" s="49"/>
      <c r="AA242" s="49"/>
      <c r="AB242" s="16"/>
      <c r="AC242" s="46"/>
      <c r="AD242" s="46"/>
      <c r="AE242" s="50"/>
      <c r="AF242" s="51"/>
      <c r="AG242" s="62"/>
      <c r="AH242" s="17"/>
    </row>
    <row r="243" spans="1:34">
      <c r="A243" s="112"/>
      <c r="B243" s="113"/>
      <c r="C243" s="113"/>
      <c r="D243" s="114">
        <f t="shared" si="54"/>
        <v>0</v>
      </c>
      <c r="E243" s="19" t="e">
        <f t="shared" si="55"/>
        <v>#DIV/0!</v>
      </c>
      <c r="F243" s="16"/>
      <c r="G243" s="16"/>
      <c r="H243" s="16"/>
      <c r="I243" s="16"/>
      <c r="J243" s="16"/>
      <c r="K243" s="16" t="e">
        <f t="shared" si="57"/>
        <v>#DIV/0!</v>
      </c>
      <c r="L243" s="16"/>
      <c r="M243" s="104"/>
      <c r="N243" s="104"/>
      <c r="O243" s="47"/>
      <c r="P243" s="17"/>
      <c r="Q243" s="62"/>
      <c r="R243" s="17"/>
      <c r="S243" s="45"/>
      <c r="T243" s="48"/>
      <c r="U243" s="48"/>
      <c r="V243" s="18">
        <f t="shared" si="56"/>
        <v>0</v>
      </c>
      <c r="W243" s="56" t="e">
        <f>IF(#REF!&gt;DATE(2010,9,30),ROUNDUP(ABS( V243/U243 ),3),ROUNDUP(ABS( (T243-T244)/T244 ),3))</f>
        <v>#REF!</v>
      </c>
      <c r="X243" s="49"/>
      <c r="Y243" s="49"/>
      <c r="Z243" s="49"/>
      <c r="AA243" s="49"/>
      <c r="AB243" s="16"/>
      <c r="AC243" s="46"/>
      <c r="AD243" s="46"/>
      <c r="AE243" s="50"/>
      <c r="AF243" s="51"/>
      <c r="AG243" s="62"/>
      <c r="AH243" s="17"/>
    </row>
    <row r="244" spans="1:34">
      <c r="A244" s="112"/>
      <c r="B244" s="113"/>
      <c r="C244" s="113"/>
      <c r="D244" s="114">
        <f t="shared" si="54"/>
        <v>0</v>
      </c>
      <c r="E244" s="19" t="e">
        <f t="shared" si="55"/>
        <v>#DIV/0!</v>
      </c>
      <c r="F244" s="16"/>
      <c r="G244" s="16"/>
      <c r="H244" s="16"/>
      <c r="I244" s="16"/>
      <c r="J244" s="16"/>
      <c r="K244" s="16" t="e">
        <f t="shared" si="57"/>
        <v>#DIV/0!</v>
      </c>
      <c r="L244" s="16"/>
      <c r="M244" s="104"/>
      <c r="N244" s="104"/>
      <c r="O244" s="47"/>
      <c r="P244" s="17"/>
      <c r="Q244" s="62"/>
      <c r="R244" s="17"/>
      <c r="S244" s="45"/>
      <c r="T244" s="48"/>
      <c r="U244" s="48"/>
      <c r="V244" s="18">
        <f t="shared" si="56"/>
        <v>0</v>
      </c>
      <c r="W244" s="56" t="e">
        <f>IF(#REF!&gt;DATE(2010,9,30),ROUNDUP(ABS( V244/U244 ),3),ROUNDUP(ABS( (T244-T245)/T245 ),3))</f>
        <v>#REF!</v>
      </c>
      <c r="X244" s="49"/>
      <c r="Y244" s="49"/>
      <c r="Z244" s="49"/>
      <c r="AA244" s="49"/>
      <c r="AB244" s="16"/>
      <c r="AC244" s="46"/>
      <c r="AD244" s="46"/>
      <c r="AE244" s="50"/>
      <c r="AF244" s="51"/>
      <c r="AG244" s="62"/>
      <c r="AH244" s="17"/>
    </row>
    <row r="245" spans="1:34">
      <c r="A245" s="112"/>
      <c r="B245" s="113"/>
      <c r="C245" s="113"/>
      <c r="D245" s="114">
        <f t="shared" si="54"/>
        <v>0</v>
      </c>
      <c r="E245" s="19" t="e">
        <f t="shared" si="55"/>
        <v>#DIV/0!</v>
      </c>
      <c r="F245" s="16"/>
      <c r="G245" s="16"/>
      <c r="H245" s="16"/>
      <c r="I245" s="16"/>
      <c r="J245" s="16"/>
      <c r="K245" s="16" t="e">
        <f t="shared" si="57"/>
        <v>#DIV/0!</v>
      </c>
      <c r="L245" s="16"/>
      <c r="M245" s="104"/>
      <c r="N245" s="104"/>
      <c r="O245" s="47"/>
      <c r="P245" s="17"/>
      <c r="Q245" s="62"/>
      <c r="R245" s="17"/>
      <c r="S245" s="45"/>
      <c r="T245" s="48"/>
      <c r="U245" s="48"/>
      <c r="V245" s="18">
        <f t="shared" si="56"/>
        <v>0</v>
      </c>
      <c r="W245" s="56" t="e">
        <f>IF(#REF!&gt;DATE(2010,9,30),ROUNDUP(ABS( V245/U245 ),3),ROUNDUP(ABS( (T245-T246)/T246 ),3))</f>
        <v>#REF!</v>
      </c>
      <c r="X245" s="49"/>
      <c r="Y245" s="49"/>
      <c r="Z245" s="49"/>
      <c r="AA245" s="49"/>
      <c r="AB245" s="16"/>
      <c r="AC245" s="46"/>
      <c r="AD245" s="46"/>
      <c r="AE245" s="50"/>
      <c r="AF245" s="51"/>
      <c r="AG245" s="62"/>
      <c r="AH245" s="17"/>
    </row>
    <row r="246" spans="1:34">
      <c r="A246" s="112"/>
      <c r="B246" s="113"/>
      <c r="C246" s="113"/>
      <c r="D246" s="114">
        <f t="shared" si="54"/>
        <v>0</v>
      </c>
      <c r="E246" s="19" t="e">
        <f t="shared" si="55"/>
        <v>#DIV/0!</v>
      </c>
      <c r="F246" s="16"/>
      <c r="G246" s="16"/>
      <c r="H246" s="16"/>
      <c r="I246" s="16"/>
      <c r="J246" s="16"/>
      <c r="K246" s="16" t="e">
        <f t="shared" si="57"/>
        <v>#DIV/0!</v>
      </c>
      <c r="L246" s="16"/>
      <c r="M246" s="104"/>
      <c r="N246" s="104"/>
      <c r="O246" s="47"/>
      <c r="P246" s="17"/>
      <c r="Q246" s="62"/>
      <c r="R246" s="17"/>
      <c r="S246" s="45"/>
      <c r="T246" s="48"/>
      <c r="U246" s="48"/>
      <c r="V246" s="18">
        <f t="shared" si="56"/>
        <v>0</v>
      </c>
      <c r="W246" s="56" t="e">
        <f>IF(#REF!&gt;DATE(2010,9,30),ROUNDUP(ABS( V246/U246 ),3),ROUNDUP(ABS( (T246-T247)/T247 ),3))</f>
        <v>#REF!</v>
      </c>
      <c r="X246" s="49"/>
      <c r="Y246" s="49"/>
      <c r="Z246" s="49"/>
      <c r="AA246" s="49"/>
      <c r="AB246" s="16"/>
      <c r="AC246" s="46"/>
      <c r="AD246" s="46"/>
      <c r="AE246" s="50"/>
      <c r="AF246" s="51"/>
      <c r="AG246" s="62"/>
      <c r="AH246" s="17"/>
    </row>
    <row r="247" spans="1:34">
      <c r="A247" s="112"/>
      <c r="B247" s="113"/>
      <c r="C247" s="113"/>
      <c r="D247" s="114">
        <f t="shared" si="54"/>
        <v>0</v>
      </c>
      <c r="E247" s="19" t="e">
        <f t="shared" si="55"/>
        <v>#DIV/0!</v>
      </c>
      <c r="F247" s="16"/>
      <c r="G247" s="16"/>
      <c r="H247" s="16"/>
      <c r="I247" s="16"/>
      <c r="J247" s="16"/>
      <c r="K247" s="16" t="e">
        <f t="shared" si="57"/>
        <v>#DIV/0!</v>
      </c>
      <c r="L247" s="16"/>
      <c r="M247" s="104"/>
      <c r="N247" s="104"/>
      <c r="O247" s="47"/>
      <c r="P247" s="17"/>
      <c r="Q247" s="62"/>
      <c r="R247" s="17"/>
      <c r="S247" s="45"/>
      <c r="T247" s="48"/>
      <c r="U247" s="48"/>
      <c r="V247" s="18">
        <f t="shared" si="56"/>
        <v>0</v>
      </c>
      <c r="W247" s="56" t="e">
        <f>IF(#REF!&gt;DATE(2010,9,30),ROUNDUP(ABS( V247/U247 ),3),ROUNDUP(ABS( (T247-T248)/T248 ),3))</f>
        <v>#REF!</v>
      </c>
      <c r="X247" s="49"/>
      <c r="Y247" s="49"/>
      <c r="Z247" s="49"/>
      <c r="AA247" s="49"/>
      <c r="AB247" s="16"/>
      <c r="AC247" s="46"/>
      <c r="AD247" s="46"/>
      <c r="AE247" s="50"/>
      <c r="AF247" s="51"/>
      <c r="AG247" s="62"/>
      <c r="AH247" s="17"/>
    </row>
    <row r="248" spans="1:34">
      <c r="A248" s="112"/>
      <c r="B248" s="113"/>
      <c r="C248" s="113"/>
      <c r="D248" s="114">
        <f t="shared" si="54"/>
        <v>0</v>
      </c>
      <c r="E248" s="19" t="e">
        <f t="shared" si="55"/>
        <v>#DIV/0!</v>
      </c>
      <c r="F248" s="16"/>
      <c r="G248" s="16"/>
      <c r="H248" s="16"/>
      <c r="I248" s="16"/>
      <c r="J248" s="16"/>
      <c r="K248" s="16" t="e">
        <f t="shared" si="57"/>
        <v>#DIV/0!</v>
      </c>
      <c r="L248" s="16"/>
      <c r="M248" s="104"/>
      <c r="N248" s="104"/>
      <c r="O248" s="47"/>
      <c r="P248" s="17"/>
      <c r="Q248" s="62"/>
      <c r="R248" s="17"/>
      <c r="S248" s="45"/>
      <c r="T248" s="48"/>
      <c r="U248" s="48"/>
      <c r="V248" s="18">
        <f t="shared" si="56"/>
        <v>0</v>
      </c>
      <c r="W248" s="56" t="e">
        <f>IF(#REF!&gt;DATE(2010,9,30),ROUNDUP(ABS( V248/U248 ),3),ROUNDUP(ABS( (T248-T249)/T249 ),3))</f>
        <v>#REF!</v>
      </c>
      <c r="X248" s="49"/>
      <c r="Y248" s="49"/>
      <c r="Z248" s="49"/>
      <c r="AA248" s="49"/>
      <c r="AB248" s="16"/>
      <c r="AC248" s="46"/>
      <c r="AD248" s="46"/>
      <c r="AE248" s="50"/>
      <c r="AF248" s="51"/>
      <c r="AG248" s="62"/>
      <c r="AH248" s="17"/>
    </row>
    <row r="249" spans="1:34">
      <c r="A249" s="112"/>
      <c r="B249" s="113"/>
      <c r="C249" s="113"/>
      <c r="D249" s="114">
        <f t="shared" si="54"/>
        <v>0</v>
      </c>
      <c r="E249" s="19" t="e">
        <f t="shared" si="55"/>
        <v>#DIV/0!</v>
      </c>
      <c r="F249" s="16"/>
      <c r="G249" s="16"/>
      <c r="H249" s="16"/>
      <c r="I249" s="16"/>
      <c r="J249" s="16"/>
      <c r="K249" s="16" t="e">
        <f t="shared" si="57"/>
        <v>#DIV/0!</v>
      </c>
      <c r="L249" s="16"/>
      <c r="M249" s="104"/>
      <c r="N249" s="104"/>
      <c r="O249" s="47"/>
      <c r="P249" s="17"/>
      <c r="Q249" s="62"/>
      <c r="R249" s="17"/>
      <c r="S249" s="45"/>
      <c r="T249" s="48"/>
      <c r="U249" s="48"/>
      <c r="V249" s="18">
        <f t="shared" si="56"/>
        <v>0</v>
      </c>
      <c r="W249" s="56" t="e">
        <f>IF(#REF!&gt;DATE(2010,9,30),ROUNDUP(ABS( V249/U249 ),3),ROUNDUP(ABS( (T249-T250)/T250 ),3))</f>
        <v>#REF!</v>
      </c>
      <c r="X249" s="49"/>
      <c r="Y249" s="49"/>
      <c r="Z249" s="49"/>
      <c r="AA249" s="49"/>
      <c r="AB249" s="16"/>
      <c r="AC249" s="46"/>
      <c r="AD249" s="46"/>
      <c r="AE249" s="50"/>
      <c r="AF249" s="51"/>
      <c r="AG249" s="62"/>
      <c r="AH249" s="17"/>
    </row>
    <row r="250" spans="1:34">
      <c r="A250" s="112"/>
      <c r="B250" s="113"/>
      <c r="C250" s="113"/>
      <c r="D250" s="114">
        <f t="shared" si="54"/>
        <v>0</v>
      </c>
      <c r="E250" s="19" t="e">
        <f t="shared" si="55"/>
        <v>#DIV/0!</v>
      </c>
      <c r="F250" s="16"/>
      <c r="G250" s="16"/>
      <c r="H250" s="16"/>
      <c r="I250" s="16"/>
      <c r="J250" s="16"/>
      <c r="K250" s="16" t="e">
        <f t="shared" si="57"/>
        <v>#DIV/0!</v>
      </c>
      <c r="L250" s="16"/>
      <c r="M250" s="104"/>
      <c r="N250" s="104"/>
      <c r="O250" s="47"/>
      <c r="P250" s="17"/>
      <c r="Q250" s="62"/>
      <c r="R250" s="17"/>
      <c r="S250" s="45"/>
      <c r="T250" s="48"/>
      <c r="U250" s="48"/>
      <c r="V250" s="18">
        <f t="shared" si="56"/>
        <v>0</v>
      </c>
      <c r="W250" s="56" t="e">
        <f>IF(#REF!&gt;DATE(2010,9,30),ROUNDUP(ABS( V250/U250 ),3),ROUNDUP(ABS( (T250-T251)/T251 ),3))</f>
        <v>#REF!</v>
      </c>
      <c r="X250" s="49"/>
      <c r="Y250" s="49"/>
      <c r="Z250" s="49"/>
      <c r="AA250" s="49"/>
      <c r="AB250" s="16"/>
      <c r="AC250" s="46"/>
      <c r="AD250" s="46"/>
      <c r="AE250" s="50"/>
      <c r="AF250" s="51"/>
      <c r="AG250" s="62"/>
      <c r="AH250" s="17"/>
    </row>
    <row r="251" spans="1:34">
      <c r="A251" s="112"/>
      <c r="B251" s="113"/>
      <c r="C251" s="113"/>
      <c r="D251" s="114">
        <f t="shared" si="54"/>
        <v>0</v>
      </c>
      <c r="E251" s="19" t="e">
        <f t="shared" si="55"/>
        <v>#DIV/0!</v>
      </c>
      <c r="F251" s="16"/>
      <c r="G251" s="16"/>
      <c r="H251" s="16"/>
      <c r="I251" s="16"/>
      <c r="J251" s="16"/>
      <c r="K251" s="16" t="e">
        <f t="shared" si="57"/>
        <v>#DIV/0!</v>
      </c>
      <c r="L251" s="16"/>
      <c r="M251" s="104"/>
      <c r="N251" s="104"/>
      <c r="O251" s="47"/>
      <c r="P251" s="17"/>
      <c r="Q251" s="62"/>
      <c r="R251" s="17"/>
      <c r="S251" s="45"/>
      <c r="T251" s="48"/>
      <c r="U251" s="48"/>
      <c r="V251" s="18">
        <f t="shared" si="56"/>
        <v>0</v>
      </c>
      <c r="W251" s="56" t="e">
        <f>IF(#REF!&gt;DATE(2010,9,30),ROUNDUP(ABS( V251/U251 ),3),ROUNDUP(ABS( (T251-T252)/T252 ),3))</f>
        <v>#REF!</v>
      </c>
      <c r="X251" s="49"/>
      <c r="Y251" s="49"/>
      <c r="Z251" s="49"/>
      <c r="AA251" s="49"/>
      <c r="AB251" s="16"/>
      <c r="AC251" s="46"/>
      <c r="AD251" s="46"/>
      <c r="AE251" s="50"/>
      <c r="AF251" s="51"/>
      <c r="AG251" s="62"/>
      <c r="AH251" s="17"/>
    </row>
    <row r="252" spans="1:34">
      <c r="A252" s="112"/>
      <c r="B252" s="113"/>
      <c r="C252" s="113"/>
      <c r="D252" s="114">
        <f t="shared" si="54"/>
        <v>0</v>
      </c>
      <c r="E252" s="19" t="e">
        <f t="shared" si="55"/>
        <v>#DIV/0!</v>
      </c>
      <c r="F252" s="16"/>
      <c r="G252" s="16"/>
      <c r="H252" s="16"/>
      <c r="I252" s="16"/>
      <c r="J252" s="16"/>
      <c r="K252" s="16" t="e">
        <f t="shared" si="57"/>
        <v>#DIV/0!</v>
      </c>
      <c r="L252" s="16"/>
      <c r="M252" s="104"/>
      <c r="N252" s="104"/>
      <c r="O252" s="47"/>
      <c r="P252" s="17"/>
      <c r="Q252" s="62"/>
      <c r="R252" s="17"/>
      <c r="S252" s="45"/>
      <c r="T252" s="48"/>
      <c r="U252" s="48"/>
      <c r="V252" s="18">
        <f t="shared" si="56"/>
        <v>0</v>
      </c>
      <c r="W252" s="56" t="e">
        <f>IF(#REF!&gt;DATE(2010,9,30),ROUNDUP(ABS( V252/U252 ),3),ROUNDUP(ABS( (T252-T253)/T253 ),3))</f>
        <v>#REF!</v>
      </c>
      <c r="X252" s="49"/>
      <c r="Y252" s="49"/>
      <c r="Z252" s="49"/>
      <c r="AA252" s="49"/>
      <c r="AB252" s="16"/>
      <c r="AC252" s="46"/>
      <c r="AD252" s="46"/>
      <c r="AE252" s="50"/>
      <c r="AF252" s="51"/>
      <c r="AG252" s="62"/>
      <c r="AH252" s="17"/>
    </row>
    <row r="253" spans="1:34">
      <c r="A253" s="112"/>
      <c r="B253" s="113"/>
      <c r="C253" s="113"/>
      <c r="D253" s="114">
        <f t="shared" si="54"/>
        <v>0</v>
      </c>
      <c r="E253" s="19" t="e">
        <f t="shared" si="55"/>
        <v>#DIV/0!</v>
      </c>
      <c r="F253" s="16"/>
      <c r="G253" s="16"/>
      <c r="H253" s="16"/>
      <c r="I253" s="16"/>
      <c r="J253" s="16"/>
      <c r="K253" s="16" t="e">
        <f t="shared" si="57"/>
        <v>#DIV/0!</v>
      </c>
      <c r="L253" s="16"/>
      <c r="M253" s="104"/>
      <c r="N253" s="104"/>
      <c r="O253" s="47"/>
      <c r="P253" s="17"/>
      <c r="Q253" s="62"/>
      <c r="R253" s="17"/>
      <c r="S253" s="45"/>
      <c r="T253" s="48"/>
      <c r="U253" s="48"/>
      <c r="V253" s="18">
        <f t="shared" si="56"/>
        <v>0</v>
      </c>
      <c r="W253" s="56" t="e">
        <f>IF(#REF!&gt;DATE(2010,9,30),ROUNDUP(ABS( V253/U253 ),3),ROUNDUP(ABS( (T253-T254)/T254 ),3))</f>
        <v>#REF!</v>
      </c>
      <c r="X253" s="49"/>
      <c r="Y253" s="49"/>
      <c r="Z253" s="49"/>
      <c r="AA253" s="49"/>
      <c r="AB253" s="16"/>
      <c r="AC253" s="46"/>
      <c r="AD253" s="46"/>
      <c r="AE253" s="50"/>
      <c r="AF253" s="51"/>
      <c r="AG253" s="62"/>
      <c r="AH253" s="17"/>
    </row>
    <row r="254" spans="1:34">
      <c r="A254" s="112"/>
      <c r="B254" s="113"/>
      <c r="C254" s="113"/>
      <c r="D254" s="114">
        <f t="shared" si="54"/>
        <v>0</v>
      </c>
      <c r="E254" s="19" t="e">
        <f t="shared" si="55"/>
        <v>#DIV/0!</v>
      </c>
      <c r="F254" s="16"/>
      <c r="G254" s="16"/>
      <c r="H254" s="16"/>
      <c r="I254" s="16"/>
      <c r="J254" s="16"/>
      <c r="K254" s="16" t="e">
        <f t="shared" si="57"/>
        <v>#DIV/0!</v>
      </c>
      <c r="L254" s="16"/>
      <c r="M254" s="104"/>
      <c r="N254" s="104"/>
      <c r="O254" s="47"/>
      <c r="P254" s="17"/>
      <c r="Q254" s="62"/>
      <c r="R254" s="17"/>
      <c r="S254" s="45"/>
      <c r="T254" s="48"/>
      <c r="U254" s="48"/>
      <c r="V254" s="18">
        <f t="shared" si="56"/>
        <v>0</v>
      </c>
      <c r="W254" s="56" t="e">
        <f>IF(#REF!&gt;DATE(2010,9,30),ROUNDUP(ABS( V254/U254 ),3),ROUNDUP(ABS( (T254-T255)/T255 ),3))</f>
        <v>#REF!</v>
      </c>
      <c r="X254" s="49"/>
      <c r="Y254" s="49"/>
      <c r="Z254" s="49"/>
      <c r="AA254" s="49"/>
      <c r="AB254" s="16"/>
      <c r="AC254" s="46"/>
      <c r="AD254" s="46"/>
      <c r="AE254" s="50"/>
      <c r="AF254" s="51"/>
      <c r="AG254" s="62"/>
      <c r="AH254" s="17"/>
    </row>
    <row r="255" spans="1:34">
      <c r="A255" s="112"/>
      <c r="B255" s="113"/>
      <c r="C255" s="113"/>
      <c r="D255" s="114">
        <f t="shared" si="54"/>
        <v>0</v>
      </c>
      <c r="E255" s="19" t="e">
        <f t="shared" si="55"/>
        <v>#DIV/0!</v>
      </c>
      <c r="F255" s="16"/>
      <c r="G255" s="16"/>
      <c r="H255" s="16"/>
      <c r="I255" s="16"/>
      <c r="J255" s="16"/>
      <c r="K255" s="16" t="e">
        <f t="shared" si="57"/>
        <v>#DIV/0!</v>
      </c>
      <c r="L255" s="16"/>
      <c r="M255" s="104"/>
      <c r="N255" s="104"/>
      <c r="O255" s="47"/>
      <c r="P255" s="17"/>
      <c r="Q255" s="62"/>
      <c r="R255" s="17"/>
      <c r="S255" s="45"/>
      <c r="T255" s="48"/>
      <c r="U255" s="48"/>
      <c r="V255" s="18">
        <f t="shared" si="56"/>
        <v>0</v>
      </c>
      <c r="W255" s="56" t="e">
        <f>IF(#REF!&gt;DATE(2010,9,30),ROUNDUP(ABS( V255/U255 ),3),ROUNDUP(ABS( (T255-T256)/T256 ),3))</f>
        <v>#REF!</v>
      </c>
      <c r="X255" s="49"/>
      <c r="Y255" s="49"/>
      <c r="Z255" s="49"/>
      <c r="AA255" s="49"/>
      <c r="AB255" s="16"/>
      <c r="AC255" s="46"/>
      <c r="AD255" s="46"/>
      <c r="AE255" s="50"/>
      <c r="AF255" s="51"/>
      <c r="AG255" s="62"/>
      <c r="AH255" s="17"/>
    </row>
    <row r="256" spans="1:34">
      <c r="A256" s="112"/>
      <c r="B256" s="113"/>
      <c r="C256" s="113"/>
      <c r="D256" s="114">
        <f t="shared" si="54"/>
        <v>0</v>
      </c>
      <c r="E256" s="19" t="e">
        <f t="shared" si="55"/>
        <v>#DIV/0!</v>
      </c>
      <c r="F256" s="16"/>
      <c r="G256" s="16"/>
      <c r="H256" s="16"/>
      <c r="I256" s="16"/>
      <c r="J256" s="16"/>
      <c r="K256" s="16" t="e">
        <f t="shared" si="57"/>
        <v>#DIV/0!</v>
      </c>
      <c r="L256" s="16"/>
      <c r="M256" s="104"/>
      <c r="N256" s="104"/>
      <c r="O256" s="47"/>
      <c r="P256" s="17"/>
      <c r="Q256" s="62"/>
      <c r="R256" s="17"/>
      <c r="S256" s="45"/>
      <c r="T256" s="48"/>
      <c r="U256" s="48"/>
      <c r="V256" s="18">
        <f t="shared" si="56"/>
        <v>0</v>
      </c>
      <c r="W256" s="56" t="e">
        <f>IF(#REF!&gt;DATE(2010,9,30),ROUNDUP(ABS( V256/U256 ),3),ROUNDUP(ABS( (T256-T257)/T257 ),3))</f>
        <v>#REF!</v>
      </c>
      <c r="X256" s="49"/>
      <c r="Y256" s="49"/>
      <c r="Z256" s="49"/>
      <c r="AA256" s="49"/>
      <c r="AB256" s="16"/>
      <c r="AC256" s="46"/>
      <c r="AD256" s="46"/>
      <c r="AE256" s="50"/>
      <c r="AF256" s="51"/>
      <c r="AG256" s="62"/>
      <c r="AH256" s="17"/>
    </row>
    <row r="257" spans="1:34">
      <c r="A257" s="112"/>
      <c r="B257" s="113"/>
      <c r="C257" s="113"/>
      <c r="D257" s="114">
        <f t="shared" si="54"/>
        <v>0</v>
      </c>
      <c r="E257" s="19" t="e">
        <f t="shared" si="55"/>
        <v>#DIV/0!</v>
      </c>
      <c r="F257" s="16"/>
      <c r="G257" s="16"/>
      <c r="H257" s="16"/>
      <c r="I257" s="16"/>
      <c r="J257" s="16"/>
      <c r="K257" s="16" t="e">
        <f t="shared" si="57"/>
        <v>#DIV/0!</v>
      </c>
      <c r="L257" s="16"/>
      <c r="M257" s="104"/>
      <c r="N257" s="104"/>
      <c r="O257" s="47"/>
      <c r="P257" s="17"/>
      <c r="Q257" s="62"/>
      <c r="R257" s="17"/>
      <c r="S257" s="45"/>
      <c r="T257" s="48"/>
      <c r="U257" s="48"/>
      <c r="V257" s="18">
        <f t="shared" si="56"/>
        <v>0</v>
      </c>
      <c r="W257" s="56" t="e">
        <f>IF(#REF!&gt;DATE(2010,9,30),ROUNDUP(ABS( V257/U257 ),3),ROUNDUP(ABS( (T257-T258)/T258 ),3))</f>
        <v>#REF!</v>
      </c>
      <c r="X257" s="49"/>
      <c r="Y257" s="49"/>
      <c r="Z257" s="49"/>
      <c r="AA257" s="49"/>
      <c r="AB257" s="16"/>
      <c r="AC257" s="46"/>
      <c r="AD257" s="46"/>
      <c r="AE257" s="50"/>
      <c r="AF257" s="51"/>
      <c r="AG257" s="62"/>
      <c r="AH257" s="17"/>
    </row>
    <row r="258" spans="1:34">
      <c r="A258" s="112"/>
      <c r="B258" s="113"/>
      <c r="C258" s="113"/>
      <c r="D258" s="114"/>
      <c r="E258" s="19"/>
      <c r="F258" s="16"/>
      <c r="G258" s="16"/>
      <c r="H258" s="16"/>
      <c r="I258" s="16"/>
      <c r="J258" s="16"/>
      <c r="K258" s="16"/>
      <c r="L258" s="16"/>
      <c r="M258" s="104"/>
      <c r="N258" s="104"/>
      <c r="O258" s="47"/>
      <c r="P258" s="17"/>
      <c r="Q258" s="62"/>
      <c r="R258" s="17"/>
      <c r="S258" s="45"/>
      <c r="T258" s="48"/>
      <c r="U258" s="48"/>
      <c r="V258" s="18"/>
      <c r="W258" s="18"/>
      <c r="X258" s="49"/>
      <c r="Y258" s="49"/>
      <c r="Z258" s="49"/>
      <c r="AA258" s="49"/>
      <c r="AB258" s="16"/>
      <c r="AC258" s="46"/>
      <c r="AD258" s="46"/>
      <c r="AE258" s="52"/>
      <c r="AF258" s="51"/>
      <c r="AG258" s="62"/>
      <c r="AH258" s="17"/>
    </row>
    <row r="259" spans="1:34" ht="16.5">
      <c r="A259" s="115"/>
      <c r="S259" s="54"/>
    </row>
    <row r="260" spans="1:34" ht="16.5">
      <c r="A260" s="115"/>
      <c r="S260" s="54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72" fitToHeight="0" orientation="landscape" r:id="rId1"/>
  <rowBreaks count="2" manualBreakCount="2">
    <brk id="1" max="16383" man="1"/>
    <brk id="224" max="127" man="1"/>
  </rowBreaks>
  <colBreaks count="1" manualBreakCount="1">
    <brk id="18" max="1048575" man="1"/>
  </col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report</vt:lpstr>
      <vt:lpstr>Rawdata</vt:lpstr>
      <vt:lpstr>Rawdata!Print_Area</vt:lpstr>
      <vt:lpstr>report!Print_Area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users</dc:creator>
  <cp:lastModifiedBy>tsai jason</cp:lastModifiedBy>
  <cp:lastPrinted>2016-10-18T01:31:38Z</cp:lastPrinted>
  <dcterms:created xsi:type="dcterms:W3CDTF">2008-01-15T01:24:44Z</dcterms:created>
  <dcterms:modified xsi:type="dcterms:W3CDTF">2019-06-11T03:07:38Z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完成日期">
    <vt:lpwstr>98.8.4</vt:lpwstr>
  </property>
</Properties>
</file>