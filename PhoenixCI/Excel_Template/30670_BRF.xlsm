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9F509C57-26BA-4AF0-A3E4-F1707A0D928E}" xr6:coauthVersionLast="36" xr6:coauthVersionMax="36" xr10:uidLastSave="{00000000-0000-0000-0000-000000000000}"/>
  <bookViews>
    <workbookView xWindow="90" yWindow="60" windowWidth="22965" windowHeight="9585" activeTab="2"/>
  </bookViews>
  <sheets>
    <sheet name="Data" sheetId="7" r:id="rId1"/>
    <sheet name="走勢圖" sheetId="49" r:id="rId2"/>
    <sheet name="印表" sheetId="6" r:id="rId3"/>
  </sheets>
  <definedNames>
    <definedName name="I5F未平倉量">OFFSET(#REF!,COUNTA(#REF!)-印表!#REF!,0,印表!#REF!,1)</definedName>
    <definedName name="I5F交易量">OFFSET(#REF!,COUNTA(#REF!)-印表!#REF!,0,印表!#REF!,1)</definedName>
    <definedName name="I5F價格">OFFSET(走勢圖!$D$2,COUNTA(走勢圖!$D$2:$D$9998)-10,0,10,1)</definedName>
    <definedName name="Nifty50">OFFSET(走勢圖!#REF!,COUNTA(走勢圖!#REF!)-10,0,10,1)</definedName>
    <definedName name="OLE_LINK18" localSheetId="2">印表!$B$99</definedName>
    <definedName name="_xlnm.Print_Area" localSheetId="2">印表!$A$1:$K$96</definedName>
    <definedName name="TJF未平倉量">OFFSET(#REF!,COUNTA(#REF!)-印表!#REF!,0,印表!#REF!,1)</definedName>
    <definedName name="TJF交易量">OFFSET(#REF!,COUNTA(#REF!)-印表!#REF!,0,印表!#REF!,1)</definedName>
    <definedName name="TJF價格">OFFSET(走勢圖!$C$2,COUNTA(走勢圖!$C$2:$C$9998)-10,0,10,1)</definedName>
    <definedName name="TOPIX">OFFSET(走勢圖!$B$2,COUNTA(走勢圖!$B$2:$B$9998)-10,0,10,1)</definedName>
    <definedName name="日期">OFFSET(#REF!,COUNTA(#REF!)-印表!#REF!,0,印表!#REF!,1)</definedName>
    <definedName name="日期1">OFFSET(走勢圖!$A$2,COUNTA(走勢圖!$A$2:$A$9998)-10,0,10,1)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" i="7" l="1"/>
  <c r="B24" i="6"/>
  <c r="G12" i="6"/>
  <c r="B1" i="7"/>
  <c r="A5" i="6" s="1"/>
  <c r="C1" i="7"/>
  <c r="B10" i="6" s="1"/>
  <c r="C22" i="7"/>
  <c r="B22" i="7"/>
  <c r="D22" i="7"/>
  <c r="B6" i="6" s="1"/>
  <c r="B24" i="7"/>
  <c r="D24" i="7"/>
  <c r="E22" i="7"/>
  <c r="K3" i="6" l="1"/>
  <c r="D1" i="7"/>
  <c r="A22" i="7"/>
</calcChain>
</file>

<file path=xl/sharedStrings.xml><?xml version="1.0" encoding="utf-8"?>
<sst xmlns="http://schemas.openxmlformats.org/spreadsheetml/2006/main" count="43" uniqueCount="29">
  <si>
    <t>期間</t>
    <phoneticPr fontId="1" type="noConversion"/>
  </si>
  <si>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</si>
  <si>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</si>
  <si>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</si>
  <si>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</si>
  <si>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</si>
  <si>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</si>
  <si>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</si>
  <si>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</si>
  <si>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</si>
  <si>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</si>
  <si>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</si>
  <si>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</si>
  <si>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(台幣)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</si>
  <si>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(台幣)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</si>
  <si>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>第4季月</t>
    <phoneticPr fontId="1" type="noConversion"/>
  </si>
  <si>
    <t>第5季月</t>
    <phoneticPr fontId="1" type="noConversion"/>
  </si>
  <si>
    <t>UNF</t>
    <phoneticPr fontId="1" type="noConversion"/>
  </si>
  <si>
    <t>BRF</t>
    <phoneticPr fontId="1" type="noConversion"/>
  </si>
  <si>
    <t>近月</t>
    <phoneticPr fontId="1" type="noConversion"/>
  </si>
  <si>
    <t>次近月</t>
    <phoneticPr fontId="1" type="noConversion"/>
  </si>
  <si>
    <t>次二近月</t>
    <phoneticPr fontId="1" type="noConversion"/>
  </si>
  <si>
    <t>NASDAQ 100</t>
    <phoneticPr fontId="3" type="noConversion"/>
  </si>
  <si>
    <t>UNF(近月)</t>
    <phoneticPr fontId="3" type="noConversion"/>
  </si>
  <si>
    <t>BRF(近月)</t>
    <phoneticPr fontId="3" type="noConversion"/>
  </si>
  <si>
    <t xml:space="preserve">     布蘭特原油期貨週報</t>
    <phoneticPr fontId="1" type="noConversion"/>
  </si>
  <si>
    <r>
      <t>BRF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</si>
  <si>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t>布蘭特原油期貨價格走勢圖</t>
    <phoneticPr fontId="1" type="noConversion"/>
  </si>
  <si>
    <t>布蘭特原油期貨契約規格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</si>
</sst>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0.0%"/>
    <numFmt numFmtId="177" formatCode="0.0000_ ;[Red]\-0.0000\ "/>
    <numFmt numFmtId="178" formatCode="_-* #,##0_-;\-* #,##0_-;_-* &quot;-&quot;??_-;_-@_-"/>
  </numFmts>
  <fonts count="4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name val="新細明體"/>
      <family val="1"/>
      <charset val="136"/>
      <scheme val="minor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4"/>
      <color rgb="FF0000FF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theme="1"/>
      <name val="標楷體"/>
      <family val="4"/>
      <charset val="136"/>
    </font>
    <font>
      <sz val="12"/>
      <color rgb="FFFF0000"/>
      <name val="新細明體"/>
      <family val="1"/>
      <charset val="136"/>
      <scheme val="major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0" fillId="0" borderId="0" xfId="0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6" fillId="0" borderId="0" xfId="0" applyFont="1" applyBorder="1">
      <alignment vertical="center"/>
    </xf>
    <xf numFmtId="0" fontId="26" fillId="0" borderId="10" xfId="0" applyFont="1" applyBorder="1">
      <alignment vertical="center"/>
    </xf>
    <xf numFmtId="0" fontId="0" fillId="0" borderId="10" xfId="0" applyBorder="1">
      <alignment vertical="center"/>
    </xf>
    <xf numFmtId="0" fontId="27" fillId="0" borderId="10" xfId="0" applyFont="1" applyBorder="1">
      <alignment vertical="center"/>
    </xf>
    <xf numFmtId="14" fontId="28" fillId="0" borderId="10" xfId="0" applyNumberFormat="1" applyFont="1" applyBorder="1" applyAlignment="1"/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32" fillId="0" borderId="0" xfId="0" applyFont="1" applyFill="1">
      <alignment vertical="center"/>
    </xf>
    <xf numFmtId="0" fontId="32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3" fillId="33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25" fillId="0" borderId="0" xfId="0" applyFont="1">
      <alignment vertical="center"/>
    </xf>
    <xf numFmtId="0" fontId="35" fillId="0" borderId="10" xfId="0" quotePrefix="1" applyFont="1" applyBorder="1" applyAlignment="1"/>
    <xf numFmtId="0" fontId="32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0" fontId="36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37" fillId="3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78" fontId="38" fillId="0" borderId="0" xfId="20" applyNumberFormat="1" applyFont="1" applyAlignment="1">
      <alignment horizontal="right" vertical="center"/>
    </xf>
    <xf numFmtId="178" fontId="25" fillId="0" borderId="0" xfId="20" applyNumberFormat="1" applyFont="1" applyAlignment="1">
      <alignment horizontal="right" vertical="center"/>
    </xf>
    <xf numFmtId="0" fontId="0" fillId="0" borderId="0" xfId="0" applyFont="1">
      <alignment vertical="center"/>
    </xf>
    <xf numFmtId="14" fontId="32" fillId="0" borderId="0" xfId="0" applyNumberFormat="1" applyFont="1" applyFill="1">
      <alignment vertical="center"/>
    </xf>
    <xf numFmtId="0" fontId="4" fillId="0" borderId="0" xfId="0" applyFont="1" applyAlignment="1">
      <alignment horizontal="center" vertical="center"/>
    </xf>
    <xf numFmtId="0" fontId="9" fillId="0" borderId="0" xfId="19" applyFont="1"/>
    <xf numFmtId="0" fontId="39" fillId="0" borderId="0" xfId="0" applyFont="1" applyAlignment="1">
      <alignment vertical="top" wrapText="1"/>
    </xf>
    <xf numFmtId="0" fontId="37" fillId="0" borderId="0" xfId="0" applyFont="1">
      <alignment vertical="center"/>
    </xf>
    <xf numFmtId="0" fontId="39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31"/>
          <c:y val="4.5936061271029713E-2"/>
          <c:w val="0.8161373690181305"/>
          <c:h val="0.803895271287826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D1-4DBB-B387-FC52A92FBED6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D1-4DBB-B387-FC52A92FBED6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D1-4DBB-B387-FC52A92FBED6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D1-4DBB-B387-FC52A92FBED6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D1-4DBB-B387-FC52A92FBED6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37D1-4DBB-B387-FC52A92FBED6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37D1-4DBB-B387-FC52A92F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115632"/>
        <c:axId val="1"/>
      </c:barChart>
      <c:catAx>
        <c:axId val="32611563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26115632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34552618073578795"/>
          <c:y val="5.2562634216177531E-2"/>
          <c:w val="0.62638367131482875"/>
          <c:h val="0.20904461942257219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05B7-4F8E-81A2-F8271C7A8C5C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05B7-4F8E-81A2-F8271C7A8C5C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05B7-4F8E-81A2-F8271C7A8C5C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05B7-4F8E-81A2-F8271C7A8C5C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05B7-4F8E-81A2-F8271C7A8C5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Data!$F$5:$F$9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次二近月</c:v>
                </c:pt>
                <c:pt idx="3">
                  <c:v>第1季月</c:v>
                </c:pt>
                <c:pt idx="4">
                  <c:v>第2季月</c:v>
                </c:pt>
              </c:strCache>
            </c:strRef>
          </c:cat>
          <c:val>
            <c:numRef>
              <c:f>Data!$D$5:$D$9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05B7-4F8E-81A2-F8271C7A8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ECB6-439F-A936-2508812D1CF5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CB6-439F-A936-2508812D1CF5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ECB6-439F-A936-2508812D1CF5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ECB6-439F-A936-2508812D1CF5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ECB6-439F-A936-2508812D1CF5}"/>
              </c:ext>
            </c:extLst>
          </c:dPt>
          <c:dLbls>
            <c:dLbl>
              <c:idx val="2"/>
              <c:layout>
                <c:manualLayout>
                  <c:x val="-0.1336769581433899"/>
                  <c:y val="0.35127754050881299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B6-439F-A936-2508812D1CF5}"/>
                </c:ext>
              </c:extLst>
            </c:dLbl>
            <c:dLbl>
              <c:idx val="4"/>
              <c:layout>
                <c:manualLayout>
                  <c:x val="-0.14380885366302895"/>
                  <c:y val="0.17791979324472357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B6-439F-A936-2508812D1C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Data!$F$5:$F$9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次二近月</c:v>
                </c:pt>
                <c:pt idx="3">
                  <c:v>第1季月</c:v>
                </c:pt>
                <c:pt idx="4">
                  <c:v>第2季月</c:v>
                </c:pt>
              </c:strCache>
            </c:strRef>
          </c:cat>
          <c:val>
            <c:numRef>
              <c:f>Data!$E$5:$E$9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ECB6-439F-A936-2508812D1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標楷體" panose="03000509000000000000" pitchFamily="65" charset="-120"/>
              <a:cs typeface="Times New Roman" panose="02020603050405020304" pitchFamily="18" charset="0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走勢圖!$D$1</c:f>
              <c:strCache>
                <c:ptCount val="1"/>
                <c:pt idx="0">
                  <c:v>BRF(近月)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0-4305-9DCD-29939CC4A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9186040"/>
        <c:axId val="1"/>
      </c:lineChart>
      <c:catAx>
        <c:axId val="329186040"/>
        <c:scaling>
          <c:orientation val="minMax"/>
        </c:scaling>
        <c:delete val="0"/>
        <c:axPos val="b"/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91860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image" Target="../media/image2.emf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364" name="圖片 1">
          <a:extLst>
            <a:ext uri="{FF2B5EF4-FFF2-40B4-BE49-F238E27FC236}">
              <a16:creationId xmlns:a16="http://schemas.microsoft.com/office/drawing/2014/main" id="{3120B987-4C31-4BE2-9416-309A655B2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9525</xdr:colOff>
      <xdr:row>12</xdr:row>
      <xdr:rowOff>57150</xdr:rowOff>
    </xdr:from>
    <xdr:to>
      <xdr:col>5</xdr:col>
      <xdr:colOff>342900</xdr:colOff>
      <xdr:row>22</xdr:row>
      <xdr:rowOff>57150</xdr:rowOff>
    </xdr:to>
    <xdr:graphicFrame macro="">
      <xdr:nvGraphicFramePr>
        <xdr:cNvPr id="4365" name="圖表 6">
          <a:extLst>
            <a:ext uri="{FF2B5EF4-FFF2-40B4-BE49-F238E27FC236}">
              <a16:creationId xmlns:a16="http://schemas.microsoft.com/office/drawing/2014/main" id="{CB83B5C4-DC92-45C4-B120-B8863A862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695325</xdr:colOff>
      <xdr:row>22</xdr:row>
      <xdr:rowOff>28575</xdr:rowOff>
    </xdr:to>
    <xdr:graphicFrame macro="">
      <xdr:nvGraphicFramePr>
        <xdr:cNvPr id="4366" name="圖表 8">
          <a:extLst>
            <a:ext uri="{FF2B5EF4-FFF2-40B4-BE49-F238E27FC236}">
              <a16:creationId xmlns:a16="http://schemas.microsoft.com/office/drawing/2014/main" id="{9F3E951B-661C-4EAD-80D2-710646086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24</xdr:row>
      <xdr:rowOff>47625</xdr:rowOff>
    </xdr:from>
    <xdr:to>
      <xdr:col>5</xdr:col>
      <xdr:colOff>381000</xdr:colOff>
      <xdr:row>34</xdr:row>
      <xdr:rowOff>38100</xdr:rowOff>
    </xdr:to>
    <xdr:graphicFrame macro="">
      <xdr:nvGraphicFramePr>
        <xdr:cNvPr id="4367" name="圖表 10">
          <a:extLst>
            <a:ext uri="{FF2B5EF4-FFF2-40B4-BE49-F238E27FC236}">
              <a16:creationId xmlns:a16="http://schemas.microsoft.com/office/drawing/2014/main" id="{958BD6A1-7F36-4EAC-85D6-3F7AEBFAB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266700</xdr:colOff>
      <xdr:row>50</xdr:row>
      <xdr:rowOff>19050</xdr:rowOff>
    </xdr:from>
    <xdr:to>
      <xdr:col>10</xdr:col>
      <xdr:colOff>200025</xdr:colOff>
      <xdr:row>88</xdr:row>
      <xdr:rowOff>57150</xdr:rowOff>
    </xdr:to>
    <xdr:pic>
      <xdr:nvPicPr>
        <xdr:cNvPr id="4368" name="圖片 11">
          <a:extLst>
            <a:ext uri="{FF2B5EF4-FFF2-40B4-BE49-F238E27FC236}">
              <a16:creationId xmlns:a16="http://schemas.microsoft.com/office/drawing/2014/main" id="{6AE15326-94D3-4E98-BBB7-535835F77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10429875"/>
          <a:ext cx="6191250" cy="803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200025</xdr:colOff>
      <xdr:row>36</xdr:row>
      <xdr:rowOff>57150</xdr:rowOff>
    </xdr:from>
    <xdr:to>
      <xdr:col>10</xdr:col>
      <xdr:colOff>695325</xdr:colOff>
      <xdr:row>46</xdr:row>
      <xdr:rowOff>85725</xdr:rowOff>
    </xdr:to>
    <xdr:graphicFrame macro="">
      <xdr:nvGraphicFramePr>
        <xdr:cNvPr id="4369" name="圖表 1">
          <a:extLst>
            <a:ext uri="{FF2B5EF4-FFF2-40B4-BE49-F238E27FC236}">
              <a16:creationId xmlns:a16="http://schemas.microsoft.com/office/drawing/2014/main" id="{BAA7A097-5C1B-41ED-8EAE-619713652E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zoomScale="80" zoomScaleNormal="80" workbookViewId="0">
      <selection activeCell="F17" sqref="F17"/>
    </sheetView>
  </sheetViews>
  <sheetFormatPr defaultColWidth="8.875" defaultRowHeight="16.5"/>
  <cols>
    <col min="1" max="1" width="20.25" style="1" customWidth="1"/>
    <col min="2" max="3" width="13.125" style="1" hidden="1" customWidth="1"/>
    <col min="4" max="5" width="13.125" style="1" customWidth="1"/>
    <col min="6" max="6" width="12.875" style="1" bestFit="1" customWidth="1"/>
    <col min="7" max="7" width="22.875" style="1" bestFit="1" customWidth="1"/>
    <col min="8" max="8" width="14.75" style="1" bestFit="1" customWidth="1"/>
    <col min="9" max="9" width="22.875" style="1" bestFit="1" customWidth="1"/>
    <col min="10" max="10" width="20.625" style="1" customWidth="1"/>
    <col min="11" max="16384" width="8.875" style="1"/>
  </cols>
  <sheetData>
    <row r="1" spans="1:7" s="5" customFormat="1">
      <c r="A1" s="37" t="s">
        <v>0</v>
      </c>
      <c r="B1" s="44">
        <f>MIN(A13:A18)</f>
        <v>0</v>
      </c>
      <c r="C1" s="44">
        <f>MAX(A13:A18)</f>
        <v>0</v>
      </c>
      <c r="D1" s="44">
        <f>B1</f>
        <v>0</v>
      </c>
      <c r="E1" s="44">
        <f>C1</f>
        <v>0</v>
      </c>
    </row>
    <row r="2" spans="1:7" s="5" customFormat="1"/>
    <row r="3" spans="1:7" s="32" customFormat="1">
      <c r="A3" s="28"/>
      <c r="B3" s="28" t="s">
        <v>17</v>
      </c>
      <c r="C3" s="28"/>
      <c r="D3" s="28" t="s">
        <v>18</v>
      </c>
      <c r="E3" s="28"/>
    </row>
    <row r="4" spans="1:7">
      <c r="A4" s="39" t="s">
        <v>9</v>
      </c>
      <c r="B4" s="29" t="s">
        <v>3</v>
      </c>
      <c r="C4" s="28" t="s">
        <v>5</v>
      </c>
      <c r="D4" s="29" t="s">
        <v>3</v>
      </c>
      <c r="E4" s="28" t="s">
        <v>4</v>
      </c>
      <c r="G4" s="2"/>
    </row>
    <row r="5" spans="1:7">
      <c r="A5" s="35" t="s">
        <v>6</v>
      </c>
      <c r="B5" s="36"/>
      <c r="C5" s="33"/>
      <c r="D5" s="36"/>
      <c r="E5" s="33"/>
      <c r="F5" s="1" t="s">
        <v>19</v>
      </c>
      <c r="G5" s="2"/>
    </row>
    <row r="6" spans="1:7">
      <c r="A6" s="35" t="s">
        <v>7</v>
      </c>
      <c r="B6" s="36"/>
      <c r="C6" s="33"/>
      <c r="D6" s="36"/>
      <c r="E6" s="33"/>
      <c r="F6" s="1" t="s">
        <v>20</v>
      </c>
      <c r="G6" s="2"/>
    </row>
    <row r="7" spans="1:7">
      <c r="A7" s="35" t="s">
        <v>8</v>
      </c>
      <c r="B7" s="36"/>
      <c r="C7" s="33"/>
      <c r="D7" s="36"/>
      <c r="E7" s="33"/>
      <c r="F7" s="1" t="s">
        <v>21</v>
      </c>
    </row>
    <row r="8" spans="1:7">
      <c r="A8" s="35" t="s">
        <v>15</v>
      </c>
      <c r="B8" s="36"/>
      <c r="C8" s="33"/>
      <c r="D8" s="36"/>
      <c r="E8" s="33"/>
      <c r="F8" s="35" t="s">
        <v>6</v>
      </c>
      <c r="G8" s="32"/>
    </row>
    <row r="9" spans="1:7">
      <c r="A9" s="35" t="s">
        <v>16</v>
      </c>
      <c r="B9" s="36"/>
      <c r="C9" s="33"/>
      <c r="D9" s="36"/>
      <c r="E9" s="33"/>
      <c r="F9" s="35" t="s">
        <v>7</v>
      </c>
      <c r="G9" s="32"/>
    </row>
    <row r="10" spans="1:7">
      <c r="A10" s="30"/>
      <c r="B10" s="4"/>
      <c r="D10" s="3"/>
      <c r="E10" s="3"/>
    </row>
    <row r="11" spans="1:7">
      <c r="A11" s="28"/>
      <c r="B11" s="28" t="s">
        <v>17</v>
      </c>
      <c r="C11" s="28"/>
      <c r="D11" s="28" t="s">
        <v>18</v>
      </c>
      <c r="E11" s="28"/>
    </row>
    <row r="12" spans="1:7">
      <c r="A12" s="28" t="s">
        <v>2</v>
      </c>
      <c r="B12" s="29" t="s">
        <v>3</v>
      </c>
      <c r="C12" s="28" t="s">
        <v>5</v>
      </c>
      <c r="D12" s="29" t="s">
        <v>3</v>
      </c>
      <c r="E12" s="28" t="s">
        <v>4</v>
      </c>
    </row>
    <row r="13" spans="1:7">
      <c r="A13" s="38"/>
      <c r="B13" s="36"/>
      <c r="C13" s="36"/>
      <c r="D13" s="36"/>
      <c r="E13" s="36"/>
    </row>
    <row r="14" spans="1:7">
      <c r="A14" s="38"/>
      <c r="B14" s="36"/>
      <c r="C14" s="36"/>
      <c r="D14" s="36"/>
      <c r="E14" s="36"/>
    </row>
    <row r="15" spans="1:7">
      <c r="A15" s="38"/>
      <c r="B15" s="36"/>
      <c r="C15" s="36"/>
      <c r="D15" s="36"/>
      <c r="E15" s="36"/>
    </row>
    <row r="16" spans="1:7">
      <c r="A16" s="38"/>
      <c r="B16" s="36"/>
      <c r="C16" s="36"/>
      <c r="D16" s="36"/>
      <c r="E16" s="36"/>
    </row>
    <row r="17" spans="1:5">
      <c r="A17" s="38"/>
      <c r="B17" s="36"/>
      <c r="C17" s="36"/>
      <c r="D17" s="36"/>
      <c r="E17" s="36"/>
    </row>
    <row r="18" spans="1:5">
      <c r="A18" s="2"/>
      <c r="D18" s="3"/>
      <c r="E18" s="3"/>
    </row>
    <row r="19" spans="1:5">
      <c r="A19" s="2"/>
      <c r="D19" s="3"/>
      <c r="E19" s="3"/>
    </row>
    <row r="20" spans="1:5" s="32" customFormat="1">
      <c r="A20" s="28"/>
      <c r="B20" s="28" t="s">
        <v>17</v>
      </c>
      <c r="C20" s="28"/>
      <c r="D20" s="28" t="s">
        <v>18</v>
      </c>
      <c r="E20" s="28"/>
    </row>
    <row r="21" spans="1:5" s="32" customFormat="1">
      <c r="A21" s="28" t="s">
        <v>10</v>
      </c>
      <c r="B21" s="28" t="s">
        <v>11</v>
      </c>
      <c r="C21" s="28" t="s">
        <v>12</v>
      </c>
      <c r="D21" s="28" t="s">
        <v>11</v>
      </c>
      <c r="E21" s="28" t="s">
        <v>12</v>
      </c>
    </row>
    <row r="22" spans="1:5">
      <c r="A22" s="43" t="str">
        <f>YEAR(B1)&amp;"/"&amp;MONTH(B1)&amp;"/"&amp;"/"&amp;DAY(B1)&amp;"~"&amp;YEAR(C1)&amp;"/"&amp;MONTH(C1)&amp;"/"&amp;DAY(C1)</f>
        <v>1900/1//0~1900/1/0</v>
      </c>
      <c r="B22" s="1" t="e">
        <f>ROUND(AVERAGE(B13:B18),0)</f>
        <v>#DIV/0!</v>
      </c>
      <c r="C22" s="1" t="e">
        <f>VLOOKUP($C$1,$A$13:$E$18,3,FALSE)</f>
        <v>#N/A</v>
      </c>
      <c r="D22" s="32" t="e">
        <f>ROUND(AVERAGE(D13:D18),0)</f>
        <v>#DIV/0!</v>
      </c>
      <c r="E22" s="32" t="e">
        <f>VLOOKUP($C$1,$A$13:$E$18,5,FALSE)</f>
        <v>#N/A</v>
      </c>
    </row>
    <row r="23" spans="1:5" ht="33">
      <c r="A23" s="40" t="s">
        <v>13</v>
      </c>
      <c r="B23" s="42"/>
      <c r="D23" s="41"/>
      <c r="E23" s="3"/>
    </row>
    <row r="24" spans="1:5" ht="33">
      <c r="A24" s="40" t="s">
        <v>14</v>
      </c>
      <c r="B24" s="1">
        <f>ROUND(B23/100000000,2)</f>
        <v>0</v>
      </c>
      <c r="D24" s="32">
        <f>ROUND(D23/100000000,2)</f>
        <v>0</v>
      </c>
      <c r="E2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44"/>
  <sheetViews>
    <sheetView zoomScaleNormal="100" workbookViewId="0">
      <pane ySplit="1" topLeftCell="A2" activePane="bottomLeft" state="frozen"/>
      <selection pane="bottomLeft" activeCell="F26" sqref="F26"/>
    </sheetView>
  </sheetViews>
  <sheetFormatPr defaultColWidth="8.875" defaultRowHeight="16.5"/>
  <cols>
    <col min="1" max="1" width="12.125" style="6" customWidth="1"/>
    <col min="2" max="2" width="13.125" style="7" hidden="1" customWidth="1"/>
    <col min="3" max="3" width="13.875" style="7" hidden="1" customWidth="1"/>
    <col min="4" max="4" width="13.875" style="7" customWidth="1"/>
    <col min="5" max="5" width="13.875" style="7" hidden="1" customWidth="1"/>
    <col min="6" max="6" width="15.125" style="7" customWidth="1"/>
    <col min="7" max="16384" width="8.875" style="7"/>
  </cols>
  <sheetData>
    <row r="1" spans="1:6">
      <c r="B1" s="46" t="s">
        <v>22</v>
      </c>
      <c r="C1" s="46" t="s">
        <v>23</v>
      </c>
      <c r="D1" s="46" t="s">
        <v>24</v>
      </c>
    </row>
    <row r="2" spans="1:6">
      <c r="A2" s="8">
        <v>42681</v>
      </c>
      <c r="B2" s="7">
        <v>0</v>
      </c>
      <c r="C2" s="7">
        <v>0</v>
      </c>
      <c r="D2" s="7">
        <v>0</v>
      </c>
    </row>
    <row r="3" spans="1:6">
      <c r="A3" s="8">
        <v>42682</v>
      </c>
      <c r="B3" s="7">
        <v>0</v>
      </c>
      <c r="C3" s="7">
        <v>0</v>
      </c>
      <c r="D3" s="7">
        <v>0</v>
      </c>
    </row>
    <row r="4" spans="1:6">
      <c r="A4" s="8">
        <v>42683</v>
      </c>
      <c r="B4" s="7">
        <v>0</v>
      </c>
      <c r="C4" s="7">
        <v>0</v>
      </c>
      <c r="D4" s="7">
        <v>0</v>
      </c>
    </row>
    <row r="5" spans="1:6">
      <c r="A5" s="8">
        <v>42684</v>
      </c>
      <c r="B5" s="7">
        <v>0</v>
      </c>
      <c r="C5" s="7">
        <v>0</v>
      </c>
      <c r="D5" s="7">
        <v>0</v>
      </c>
    </row>
    <row r="6" spans="1:6">
      <c r="A6" s="8">
        <v>42685</v>
      </c>
      <c r="B6" s="7">
        <v>0</v>
      </c>
      <c r="C6" s="7">
        <v>0</v>
      </c>
      <c r="D6" s="7">
        <v>0</v>
      </c>
    </row>
    <row r="7" spans="1:6">
      <c r="A7" s="8">
        <v>42688</v>
      </c>
      <c r="B7" s="7">
        <v>0</v>
      </c>
      <c r="C7" s="7">
        <v>0</v>
      </c>
      <c r="D7" s="7">
        <v>0</v>
      </c>
    </row>
    <row r="8" spans="1:6">
      <c r="A8" s="8">
        <v>42689</v>
      </c>
      <c r="B8" s="7">
        <v>0</v>
      </c>
      <c r="C8" s="7">
        <v>0</v>
      </c>
      <c r="D8" s="7">
        <v>0</v>
      </c>
    </row>
    <row r="9" spans="1:6">
      <c r="A9" s="8">
        <v>42690</v>
      </c>
      <c r="B9" s="7">
        <v>0</v>
      </c>
      <c r="C9" s="7">
        <v>0</v>
      </c>
      <c r="D9" s="7">
        <v>0</v>
      </c>
    </row>
    <row r="10" spans="1:6">
      <c r="A10" s="8">
        <v>42691</v>
      </c>
      <c r="B10" s="7">
        <v>0</v>
      </c>
      <c r="C10" s="7">
        <v>0</v>
      </c>
      <c r="D10" s="7">
        <v>0</v>
      </c>
    </row>
    <row r="11" spans="1:6">
      <c r="A11" s="8">
        <v>42692</v>
      </c>
      <c r="B11" s="7">
        <v>0</v>
      </c>
      <c r="C11" s="7">
        <v>0</v>
      </c>
      <c r="D11" s="7">
        <v>0</v>
      </c>
    </row>
    <row r="12" spans="1:6">
      <c r="A12" s="8">
        <v>42695</v>
      </c>
      <c r="B12" s="7">
        <v>0</v>
      </c>
      <c r="C12" s="7">
        <v>0</v>
      </c>
      <c r="D12" s="7">
        <v>0</v>
      </c>
    </row>
    <row r="13" spans="1:6">
      <c r="A13" s="8">
        <v>42696</v>
      </c>
      <c r="B13" s="7">
        <v>0</v>
      </c>
      <c r="C13" s="7">
        <v>0</v>
      </c>
      <c r="D13" s="7">
        <v>0</v>
      </c>
    </row>
    <row r="14" spans="1:6">
      <c r="A14" s="8">
        <v>42697</v>
      </c>
      <c r="B14" s="7">
        <v>0</v>
      </c>
      <c r="C14" s="7">
        <v>0</v>
      </c>
      <c r="D14" s="7">
        <v>0</v>
      </c>
    </row>
    <row r="15" spans="1:6">
      <c r="A15" s="8">
        <v>42698</v>
      </c>
      <c r="B15" s="7">
        <v>0</v>
      </c>
      <c r="C15" s="7">
        <v>0</v>
      </c>
      <c r="D15" s="7">
        <v>0</v>
      </c>
      <c r="F15" s="5"/>
    </row>
    <row r="16" spans="1:6">
      <c r="A16" s="8">
        <v>42699</v>
      </c>
      <c r="B16" s="7">
        <v>0</v>
      </c>
      <c r="C16" s="7">
        <v>0</v>
      </c>
      <c r="D16" s="7">
        <v>0</v>
      </c>
    </row>
    <row r="17" spans="1:4">
      <c r="A17" s="8">
        <v>42702</v>
      </c>
      <c r="B17" s="7">
        <v>0</v>
      </c>
      <c r="C17" s="7">
        <v>0</v>
      </c>
      <c r="D17" s="7">
        <v>0</v>
      </c>
    </row>
    <row r="18" spans="1:4">
      <c r="A18" s="8">
        <v>42703</v>
      </c>
      <c r="B18" s="7">
        <v>0</v>
      </c>
      <c r="C18" s="7">
        <v>0</v>
      </c>
      <c r="D18" s="7">
        <v>0</v>
      </c>
    </row>
    <row r="19" spans="1:4">
      <c r="A19" s="8">
        <v>42704</v>
      </c>
      <c r="B19" s="7">
        <v>0</v>
      </c>
      <c r="C19" s="7">
        <v>0</v>
      </c>
      <c r="D19" s="7">
        <v>0</v>
      </c>
    </row>
    <row r="20" spans="1:4">
      <c r="A20" s="8">
        <v>42705</v>
      </c>
      <c r="B20" s="7">
        <v>0</v>
      </c>
      <c r="C20" s="7">
        <v>0</v>
      </c>
      <c r="D20" s="7">
        <v>0</v>
      </c>
    </row>
    <row r="21" spans="1:4">
      <c r="A21" s="8">
        <v>42706</v>
      </c>
      <c r="B21" s="7">
        <v>0</v>
      </c>
      <c r="C21" s="7">
        <v>0</v>
      </c>
      <c r="D21" s="7">
        <v>0</v>
      </c>
    </row>
    <row r="22" spans="1:4">
      <c r="A22" s="8">
        <v>42709</v>
      </c>
      <c r="B22" s="7">
        <v>0</v>
      </c>
      <c r="C22" s="7">
        <v>0</v>
      </c>
      <c r="D22" s="7">
        <v>0</v>
      </c>
    </row>
    <row r="23" spans="1:4">
      <c r="A23" s="8">
        <v>42710</v>
      </c>
      <c r="B23" s="7">
        <v>0</v>
      </c>
      <c r="C23" s="7">
        <v>0</v>
      </c>
      <c r="D23" s="7">
        <v>0</v>
      </c>
    </row>
    <row r="24" spans="1:4">
      <c r="A24" s="8">
        <v>42711</v>
      </c>
      <c r="B24" s="7">
        <v>0</v>
      </c>
      <c r="C24" s="7">
        <v>0</v>
      </c>
      <c r="D24" s="7">
        <v>0</v>
      </c>
    </row>
    <row r="25" spans="1:4">
      <c r="A25" s="8">
        <v>42712</v>
      </c>
      <c r="B25" s="7">
        <v>0</v>
      </c>
      <c r="C25" s="7">
        <v>0</v>
      </c>
      <c r="D25" s="7">
        <v>0</v>
      </c>
    </row>
    <row r="26" spans="1:4">
      <c r="A26" s="8">
        <v>42713</v>
      </c>
      <c r="B26" s="7">
        <v>0</v>
      </c>
      <c r="C26" s="7">
        <v>0</v>
      </c>
      <c r="D26" s="7">
        <v>0</v>
      </c>
    </row>
    <row r="27" spans="1:4">
      <c r="A27" s="8">
        <v>42716</v>
      </c>
      <c r="B27" s="7">
        <v>0</v>
      </c>
      <c r="C27" s="7">
        <v>0</v>
      </c>
      <c r="D27" s="7">
        <v>0</v>
      </c>
    </row>
    <row r="28" spans="1:4">
      <c r="A28" s="8">
        <v>42717</v>
      </c>
      <c r="B28" s="7">
        <v>0</v>
      </c>
      <c r="C28" s="7">
        <v>0</v>
      </c>
      <c r="D28" s="7">
        <v>0</v>
      </c>
    </row>
    <row r="29" spans="1:4">
      <c r="A29" s="8">
        <v>42718</v>
      </c>
      <c r="B29" s="7">
        <v>0</v>
      </c>
      <c r="C29" s="7">
        <v>0</v>
      </c>
      <c r="D29" s="7">
        <v>0</v>
      </c>
    </row>
    <row r="30" spans="1:4">
      <c r="A30" s="8">
        <v>42719</v>
      </c>
      <c r="B30" s="7">
        <v>0</v>
      </c>
      <c r="C30" s="7">
        <v>0</v>
      </c>
      <c r="D30" s="7">
        <v>0</v>
      </c>
    </row>
    <row r="31" spans="1:4">
      <c r="A31" s="8">
        <v>42720</v>
      </c>
      <c r="B31" s="7">
        <v>0</v>
      </c>
      <c r="C31" s="7">
        <v>0</v>
      </c>
      <c r="D31" s="7">
        <v>0</v>
      </c>
    </row>
    <row r="32" spans="1:4">
      <c r="A32" s="8"/>
    </row>
    <row r="33" spans="1:1">
      <c r="A33" s="8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2">
      <c r="A129" s="10"/>
    </row>
    <row r="130" spans="1:2">
      <c r="A130" s="10"/>
    </row>
    <row r="131" spans="1:2">
      <c r="A131" s="10"/>
      <c r="B131" s="11"/>
    </row>
    <row r="132" spans="1:2">
      <c r="A132" s="10"/>
      <c r="B132" s="11"/>
    </row>
    <row r="133" spans="1:2">
      <c r="A133" s="10"/>
      <c r="B133" s="11"/>
    </row>
    <row r="134" spans="1:2">
      <c r="A134" s="10"/>
      <c r="B134" s="11"/>
    </row>
    <row r="135" spans="1:2">
      <c r="A135" s="10"/>
    </row>
    <row r="136" spans="1:2">
      <c r="A136" s="10"/>
    </row>
    <row r="137" spans="1:2">
      <c r="A137" s="10"/>
    </row>
    <row r="138" spans="1:2">
      <c r="A138" s="10"/>
    </row>
    <row r="139" spans="1:2">
      <c r="A139" s="10"/>
    </row>
    <row r="140" spans="1:2">
      <c r="A140" s="10"/>
    </row>
    <row r="141" spans="1:2">
      <c r="A141" s="10"/>
    </row>
    <row r="142" spans="1:2">
      <c r="A142" s="10"/>
    </row>
    <row r="143" spans="1:2">
      <c r="A143" s="10"/>
    </row>
    <row r="144" spans="1:2">
      <c r="A144" s="10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31"/>
    </row>
    <row r="203" spans="1:1">
      <c r="A203" s="31"/>
    </row>
    <row r="204" spans="1:1">
      <c r="A204" s="31"/>
    </row>
    <row r="205" spans="1:1">
      <c r="A205" s="31"/>
    </row>
    <row r="206" spans="1:1">
      <c r="A206" s="31"/>
    </row>
    <row r="207" spans="1:1">
      <c r="A207" s="31"/>
    </row>
    <row r="208" spans="1:1">
      <c r="A208" s="31"/>
    </row>
    <row r="209" spans="1:1">
      <c r="A209" s="31"/>
    </row>
    <row r="210" spans="1:1">
      <c r="A210" s="31"/>
    </row>
    <row r="211" spans="1:1">
      <c r="A211" s="31"/>
    </row>
    <row r="212" spans="1:1">
      <c r="A212" s="31"/>
    </row>
    <row r="213" spans="1:1">
      <c r="A213" s="31"/>
    </row>
    <row r="214" spans="1:1">
      <c r="A214" s="31"/>
    </row>
    <row r="215" spans="1:1">
      <c r="A215" s="31"/>
    </row>
    <row r="216" spans="1:1">
      <c r="A216" s="31"/>
    </row>
    <row r="217" spans="1:1">
      <c r="A217" s="31"/>
    </row>
    <row r="218" spans="1:1">
      <c r="A218" s="31"/>
    </row>
    <row r="219" spans="1:1">
      <c r="A219" s="31"/>
    </row>
    <row r="220" spans="1:1">
      <c r="A220" s="31"/>
    </row>
    <row r="221" spans="1:1">
      <c r="A221" s="31"/>
    </row>
    <row r="222" spans="1:1">
      <c r="A222" s="31"/>
    </row>
    <row r="223" spans="1:1">
      <c r="A223" s="31"/>
    </row>
    <row r="224" spans="1:1">
      <c r="A224" s="31"/>
    </row>
    <row r="225" spans="1:1">
      <c r="A225" s="31"/>
    </row>
    <row r="226" spans="1:1">
      <c r="A226" s="31"/>
    </row>
    <row r="227" spans="1:1">
      <c r="A227" s="31"/>
    </row>
    <row r="228" spans="1:1">
      <c r="A228" s="31"/>
    </row>
    <row r="229" spans="1:1">
      <c r="A229" s="31"/>
    </row>
    <row r="230" spans="1:1">
      <c r="A230" s="31"/>
    </row>
    <row r="231" spans="1:1">
      <c r="A231" s="31"/>
    </row>
    <row r="232" spans="1:1">
      <c r="A232" s="31"/>
    </row>
    <row r="233" spans="1:1">
      <c r="A233" s="31"/>
    </row>
    <row r="234" spans="1:1">
      <c r="A234" s="31"/>
    </row>
    <row r="235" spans="1:1">
      <c r="A235" s="31"/>
    </row>
    <row r="236" spans="1:1">
      <c r="A236" s="31"/>
    </row>
    <row r="237" spans="1:1">
      <c r="A237" s="31"/>
    </row>
    <row r="238" spans="1:1">
      <c r="A238" s="31"/>
    </row>
    <row r="239" spans="1:1">
      <c r="A239" s="31"/>
    </row>
    <row r="240" spans="1:1">
      <c r="A240" s="31"/>
    </row>
    <row r="241" spans="1:1">
      <c r="A241" s="31"/>
    </row>
    <row r="242" spans="1:1">
      <c r="A242" s="31"/>
    </row>
    <row r="243" spans="1:1">
      <c r="A243" s="31"/>
    </row>
    <row r="244" spans="1:1">
      <c r="A244" s="3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4"/>
  <sheetViews>
    <sheetView tabSelected="1" topLeftCell="A25" zoomScaleNormal="100" zoomScaleSheetLayoutView="100" workbookViewId="0">
      <selection activeCell="O46" sqref="O46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8.875" customWidth="1"/>
    <col min="11" max="11" width="11" customWidth="1"/>
    <col min="12" max="12" width="8.875" customWidth="1"/>
    <col min="13" max="13" width="9.625" bestFit="1" customWidth="1"/>
  </cols>
  <sheetData>
    <row r="1" spans="1:17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7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7" ht="18" customHeight="1" thickBot="1">
      <c r="A3" s="14"/>
      <c r="B3" s="14"/>
      <c r="C3" s="14"/>
      <c r="D3" s="14"/>
      <c r="E3" s="34" t="s">
        <v>25</v>
      </c>
      <c r="F3" s="16"/>
      <c r="G3" s="14"/>
      <c r="H3" s="14"/>
      <c r="I3" s="14"/>
      <c r="J3" s="14"/>
      <c r="K3" s="17">
        <f>Data!C1</f>
        <v>0</v>
      </c>
    </row>
    <row r="4" spans="1:17" ht="7.15" customHeight="1"/>
    <row r="5" spans="1:17" ht="19.5">
      <c r="A5" s="18" t="str">
        <f>"交易概況("&amp;YEAR(Data!$B$1)&amp;"/"&amp;MONTH(Data!$B$1)&amp;"/"&amp;DAY(Data!$B$1)&amp;"~"&amp;MONTH(Data!$C$1)&amp;"/"&amp;DAY(Data!$C$1)&amp;")"</f>
        <v>交易概況(1900/1/0~1/0)</v>
      </c>
    </row>
    <row r="6" spans="1:17" ht="15.6" customHeight="1">
      <c r="A6" s="19" t="s">
        <v>1</v>
      </c>
      <c r="B6" s="47" t="e">
        <f>"本週布蘭特原油期貨(BRF)為"&amp;TEXT(Data!$D$22,"#,000")&amp;"口。同期間BRF約為"&amp;TEXT(Data!$D$24,"0.00")&amp;"億台幣。"</f>
        <v>#DIV/0!</v>
      </c>
      <c r="C6" s="48"/>
      <c r="D6" s="48"/>
      <c r="E6" s="48"/>
      <c r="F6" s="48"/>
      <c r="G6" s="48"/>
      <c r="H6" s="48"/>
      <c r="I6" s="48"/>
      <c r="J6" s="48"/>
      <c r="K6" s="48"/>
    </row>
    <row r="7" spans="1:17" ht="15.6" customHeight="1"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7" ht="15.6" customHeight="1">
      <c r="B8" s="48"/>
      <c r="C8" s="48"/>
      <c r="D8" s="48"/>
      <c r="E8" s="48"/>
      <c r="F8" s="48"/>
      <c r="G8" s="48"/>
      <c r="H8" s="48"/>
      <c r="I8" s="48"/>
      <c r="J8" s="48"/>
      <c r="K8" s="48"/>
    </row>
    <row r="9" spans="1:17" ht="15.6" customHeight="1">
      <c r="B9" s="48"/>
      <c r="C9" s="48"/>
      <c r="D9" s="48"/>
      <c r="E9" s="48"/>
      <c r="F9" s="48"/>
      <c r="G9" s="48"/>
      <c r="H9" s="48"/>
      <c r="I9" s="48"/>
      <c r="J9" s="48"/>
      <c r="K9" s="48"/>
    </row>
    <row r="10" spans="1:17" ht="19.5">
      <c r="A10" s="19" t="s">
        <v>1</v>
      </c>
      <c r="B10" s="49" t="e">
        <f>MONTH(Data!$C$1)&amp;"月"&amp;DAY(Data!$C$1)&amp;"日收盤BRF未平倉量為"&amp;TEXT(Data!$E$22,"#,000")&amp;"口。"</f>
        <v>#N/A</v>
      </c>
      <c r="C10" s="49"/>
      <c r="D10" s="49"/>
      <c r="E10" s="49"/>
      <c r="F10" s="49"/>
      <c r="G10" s="49"/>
      <c r="H10" s="49"/>
      <c r="I10" s="49"/>
      <c r="J10" s="49"/>
      <c r="K10" s="49"/>
    </row>
    <row r="11" spans="1:17" ht="13.9" customHeight="1"/>
    <row r="12" spans="1:17">
      <c r="B12" s="20" t="s">
        <v>26</v>
      </c>
      <c r="G12" s="27" t="str">
        <f>"BRF交易量分布(依到期月份) -"&amp;MONTH(Data!$B$1)&amp;"/"&amp;DAY(Data!$B$1)&amp;"~"&amp;MONTH(Data!$C$1)&amp;"/"&amp;DAY(Data!$C$1)</f>
        <v>BRF交易量分布(依到期月份) -1/0~1/0</v>
      </c>
    </row>
    <row r="13" spans="1:17">
      <c r="M13" s="25"/>
      <c r="N13" s="25"/>
      <c r="O13" s="25"/>
      <c r="P13" s="25"/>
      <c r="Q13" s="25"/>
    </row>
    <row r="14" spans="1:17">
      <c r="M14" s="25"/>
      <c r="N14" s="25"/>
      <c r="O14" s="25"/>
      <c r="P14" s="25"/>
      <c r="Q14" s="25"/>
    </row>
    <row r="15" spans="1:17">
      <c r="M15" s="25"/>
      <c r="N15" s="25"/>
      <c r="O15" s="25"/>
      <c r="P15" s="25"/>
      <c r="Q15" s="25"/>
    </row>
    <row r="16" spans="1:17">
      <c r="M16" s="25"/>
      <c r="N16" s="25"/>
      <c r="O16" s="25"/>
      <c r="P16" s="25"/>
      <c r="Q16" s="25"/>
    </row>
    <row r="17" spans="2:17">
      <c r="M17" s="25"/>
      <c r="N17" s="25"/>
      <c r="O17" s="25"/>
      <c r="P17" s="25"/>
      <c r="Q17" s="25"/>
    </row>
    <row r="18" spans="2:17">
      <c r="M18" s="26"/>
      <c r="N18" s="26"/>
      <c r="O18" s="26"/>
      <c r="P18" s="26"/>
      <c r="Q18" s="26"/>
    </row>
    <row r="19" spans="2:17">
      <c r="M19" s="26"/>
      <c r="N19" s="26"/>
      <c r="O19" s="26"/>
      <c r="P19" s="26"/>
      <c r="Q19" s="26"/>
    </row>
    <row r="20" spans="2:17">
      <c r="M20" s="26"/>
      <c r="N20" s="26"/>
      <c r="O20" s="26"/>
      <c r="P20" s="26"/>
      <c r="Q20" s="26"/>
    </row>
    <row r="21" spans="2:17">
      <c r="M21" s="26"/>
      <c r="N21" s="26"/>
      <c r="O21" s="26"/>
      <c r="P21" s="26"/>
      <c r="Q21" s="26"/>
    </row>
    <row r="22" spans="2:17">
      <c r="M22" s="26"/>
      <c r="N22" s="26"/>
      <c r="O22" s="26"/>
      <c r="P22" s="26"/>
      <c r="Q22" s="26"/>
    </row>
    <row r="23" spans="2:17">
      <c r="M23" s="26"/>
      <c r="N23" s="26"/>
      <c r="O23" s="26"/>
      <c r="P23" s="26"/>
      <c r="Q23" s="26"/>
    </row>
    <row r="24" spans="2:17">
      <c r="B24" s="24" t="str">
        <f>"BRF未平倉量分布(依到期月份) -"&amp;MONTH(Data!$C$1)&amp;"/"&amp;DAY(Data!$C$1)</f>
        <v>BRF未平倉量分布(依到期月份) -1/0</v>
      </c>
      <c r="M24" s="25"/>
      <c r="N24" s="25"/>
      <c r="O24" s="25"/>
      <c r="P24" s="25"/>
      <c r="Q24" s="25"/>
    </row>
    <row r="25" spans="2:17">
      <c r="M25" s="25"/>
      <c r="N25" s="25"/>
      <c r="O25" s="25"/>
      <c r="P25" s="25"/>
      <c r="Q25" s="25"/>
    </row>
    <row r="26" spans="2:17">
      <c r="M26" s="25"/>
      <c r="N26" s="25"/>
      <c r="O26" s="25"/>
      <c r="P26" s="25"/>
      <c r="Q26" s="25"/>
    </row>
    <row r="27" spans="2:17">
      <c r="M27" s="25"/>
      <c r="N27" s="25"/>
      <c r="O27" s="25"/>
      <c r="P27" s="25"/>
      <c r="Q27" s="25"/>
    </row>
    <row r="28" spans="2:17">
      <c r="M28" s="25"/>
      <c r="N28" s="25"/>
      <c r="O28" s="25"/>
      <c r="P28" s="25"/>
      <c r="Q28" s="25"/>
    </row>
    <row r="29" spans="2:17">
      <c r="M29" s="25"/>
      <c r="N29" s="25"/>
      <c r="O29" s="25"/>
      <c r="P29" s="25"/>
      <c r="Q29" s="25"/>
    </row>
    <row r="30" spans="2:17">
      <c r="M30" s="25"/>
      <c r="N30" s="25"/>
      <c r="O30" s="25"/>
      <c r="P30" s="25"/>
      <c r="Q30" s="25"/>
    </row>
    <row r="31" spans="2:17">
      <c r="M31" s="25"/>
      <c r="N31" s="25"/>
      <c r="O31" s="25"/>
      <c r="P31" s="25"/>
      <c r="Q31" s="25"/>
    </row>
    <row r="32" spans="2:17">
      <c r="M32" s="25"/>
      <c r="N32" s="25"/>
      <c r="O32" s="25"/>
      <c r="P32" s="25"/>
      <c r="Q32" s="25"/>
    </row>
    <row r="36" spans="1:11">
      <c r="B36" s="24"/>
      <c r="F36" s="45" t="s">
        <v>27</v>
      </c>
    </row>
    <row r="45" spans="1:11" ht="21" customHeight="1"/>
    <row r="46" spans="1:11" ht="19.899999999999999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ht="12.6" customHeight="1" thickBot="1">
      <c r="A47" s="15"/>
      <c r="B47" s="15"/>
      <c r="C47" s="15"/>
      <c r="D47" s="15"/>
      <c r="E47" s="15"/>
      <c r="F47" s="21"/>
      <c r="G47" s="15"/>
      <c r="H47" s="15"/>
      <c r="I47" s="15"/>
      <c r="J47" s="15"/>
      <c r="K47" s="15"/>
    </row>
    <row r="48" spans="1:11">
      <c r="F48" s="23">
        <v>1</v>
      </c>
    </row>
    <row r="50" spans="6:6" ht="19.5">
      <c r="F50" s="22" t="s">
        <v>28</v>
      </c>
    </row>
    <row r="63" spans="6:6" ht="19.5">
      <c r="F63" s="22"/>
    </row>
    <row r="95" spans="1:11" ht="17.25" thickBo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>
      <c r="F96" s="23">
        <v>2</v>
      </c>
    </row>
    <row r="144" spans="6:6">
      <c r="F144" s="23">
        <v>3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7" orientation="portrait" r:id="rId1"/>
  <rowBreaks count="2" manualBreakCount="2">
    <brk id="47" max="10" man="1"/>
    <brk id="96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</vt:i4>
      </vt:variant>
    </vt:vector>
  </HeadingPairs>
  <TitlesOfParts>
    <vt:vector size="5" baseType="lpstr">
      <vt:lpstr>Data</vt:lpstr>
      <vt:lpstr>走勢圖</vt:lpstr>
      <vt:lpstr>印表</vt:lpstr>
      <vt:lpstr>印表!OLE_LINK18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KJSOFT</cp:lastModifiedBy>
  <cp:lastPrinted>2018-05-03T09:00:33Z</cp:lastPrinted>
  <dcterms:created xsi:type="dcterms:W3CDTF">2015-07-28T01:40:14Z</dcterms:created>
  <dcterms:modified xsi:type="dcterms:W3CDTF">2019-06-11T02:44:41Z</dcterms:modified>
</cp:coreProperties>
</file>