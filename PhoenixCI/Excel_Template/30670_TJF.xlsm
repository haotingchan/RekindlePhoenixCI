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\PB\CI\Excel_Template\"/>
    </mc:Choice>
  </mc:AlternateContent>
  <xr:revisionPtr revIDLastSave="0" documentId="8_{131E0F3D-1601-4DC8-8875-BFAAE336D43B}" xr6:coauthVersionLast="41" xr6:coauthVersionMax="41" xr10:uidLastSave="{00000000-0000-0000-0000-000000000000}"/>
  <bookViews>
    <workbookView xWindow="1845" yWindow="2085" windowWidth="21600" windowHeight="11385" activeTab="2"/>
  </bookViews>
  <sheets>
    <sheet name="Data" sheetId="7" r:id="rId1"/>
    <sheet name="走勢圖" sheetId="49" r:id="rId2"/>
    <sheet name="印表" sheetId="6" r:id="rId3"/>
  </sheets>
  <definedNames>
    <definedName name="I5F未平倉量">OFFSET(#REF!,COUNTA(#REF!)-印表!#REF!,0,印表!#REF!,1)</definedName>
    <definedName name="I5F交易量">OFFSET(#REF!,COUNTA(#REF!)-印表!#REF!,0,印表!#REF!,1)</definedName>
    <definedName name="I5F價格">OFFSET(走勢圖!$E$2,COUNTA(走勢圖!$E$2:$E$9998)-10,0,10,1)</definedName>
    <definedName name="Nifty50">OFFSET(走勢圖!$C$2,COUNTA(走勢圖!$C$2:$C$9998)-10,0,10,1)</definedName>
    <definedName name="_xlnm.Print_Area" localSheetId="2">印表!$A$1:$K$96</definedName>
    <definedName name="TJF未平倉量">OFFSET(#REF!,COUNTA(#REF!)-印表!#REF!,0,印表!#REF!,1)</definedName>
    <definedName name="TJF交易量">OFFSET(#REF!,COUNTA(#REF!)-印表!#REF!,0,印表!#REF!,1)</definedName>
    <definedName name="TJF價格">OFFSET(走勢圖!$D$2,COUNTA(走勢圖!$D$2:$D$9998)-10,0,10,1)</definedName>
    <definedName name="TOPIX">OFFSET(走勢圖!$B$2,COUNTA(走勢圖!$B$2:$B$9998)-10,0,10,1)</definedName>
    <definedName name="日期">OFFSET(#REF!,COUNTA(#REF!)-印表!#REF!,0,印表!#REF!,1)</definedName>
    <definedName name="日期1">OFFSET(走勢圖!$A$2,COUNTA(走勢圖!$A$2:$A$9998)-10,0,10,1)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7" l="1"/>
  <c r="E22" i="7" s="1"/>
  <c r="B1" i="7"/>
  <c r="G24" i="6" s="1"/>
  <c r="D22" i="7"/>
  <c r="B22" i="7"/>
  <c r="B6" i="6" s="1"/>
  <c r="D24" i="7"/>
  <c r="B24" i="7"/>
  <c r="K3" i="6" l="1"/>
  <c r="A5" i="6"/>
  <c r="B36" i="6"/>
  <c r="A22" i="7"/>
  <c r="B24" i="6"/>
  <c r="G36" i="6"/>
  <c r="C22" i="7"/>
  <c r="B10" i="6" s="1"/>
</calcChain>
</file>

<file path=xl/sharedStrings.xml><?xml version="1.0" encoding="utf-8"?>
<sst xmlns="http://schemas.openxmlformats.org/spreadsheetml/2006/main" count="40" uniqueCount="28">
  <si>
    <t>期間</t>
    <phoneticPr fontId="1" type="noConversion"/>
  </si>
  <si>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</si>
  <si>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</si>
  <si>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</si>
  <si>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</si>
  <si>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t xml:space="preserve">     東證期貨及印度50期貨週報暨相關資料 </t>
    <phoneticPr fontId="1" type="noConversion"/>
  </si>
  <si>
    <r>
      <t>TJF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</si>
  <si>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r>
      <t xml:space="preserve">  I5F</t>
    </r>
    <r>
      <rPr>
        <sz val="12"/>
        <color indexed="8"/>
        <rFont val="標楷體"/>
        <family val="4"/>
        <charset val="136"/>
      </rPr>
      <t>交易量及未平倉量</t>
    </r>
    <phoneticPr fontId="1" type="noConversion"/>
  </si>
  <si>
    <t>東證期貨及印度50期貨契約規格</t>
    <phoneticPr fontId="1" type="noConversion"/>
  </si>
  <si>
    <r>
      <rPr>
        <sz val="12"/>
        <color indexed="8"/>
        <rFont val="Times New Roman"/>
        <family val="1"/>
      </rPr>
      <t>TOPIX</t>
    </r>
    <r>
      <rPr>
        <sz val="12"/>
        <color indexed="8"/>
        <rFont val="標楷體"/>
        <family val="4"/>
        <charset val="136"/>
      </rPr>
      <t>及</t>
    </r>
    <r>
      <rPr>
        <sz val="12"/>
        <color indexed="8"/>
        <rFont val="Times New Roman"/>
        <family val="1"/>
      </rPr>
      <t>Nifty 50</t>
    </r>
    <r>
      <rPr>
        <sz val="12"/>
        <color indexed="8"/>
        <rFont val="標楷體"/>
        <family val="4"/>
        <charset val="136"/>
      </rPr>
      <t>期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現</t>
    </r>
    <r>
      <rPr>
        <sz val="12"/>
        <color indexed="8"/>
        <rFont val="Times New Roman"/>
        <family val="1"/>
      </rPr>
      <t>)</t>
    </r>
    <r>
      <rPr>
        <sz val="12"/>
        <color indexed="8"/>
        <rFont val="標楷體"/>
        <family val="4"/>
        <charset val="136"/>
      </rPr>
      <t>貨價格走勢圖</t>
    </r>
    <phoneticPr fontId="1" type="noConversion"/>
  </si>
  <si>
    <t>I5F</t>
    <phoneticPr fontId="1" type="noConversion"/>
  </si>
  <si>
    <t>TJF</t>
    <phoneticPr fontId="1" type="noConversion"/>
  </si>
  <si>
    <t>TOPIX</t>
    <phoneticPr fontId="3" type="noConversion"/>
  </si>
  <si>
    <t>Nifty 50</t>
    <phoneticPr fontId="3" type="noConversion"/>
  </si>
  <si>
    <t>TJF(近月)</t>
    <phoneticPr fontId="3" type="noConversion"/>
  </si>
  <si>
    <t>I5F(近月)</t>
    <phoneticPr fontId="3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</si>
  <si>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</si>
  <si>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近月</t>
    <phoneticPr fontId="1" type="noConversion"/>
  </si>
  <si>
    <t>次近月</t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</si>
  <si>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</si>
  <si>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</si>
  <si>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</si>
  <si>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</si>
  <si>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</si>
  <si>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</si>
  <si>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</si>
  <si>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(台幣)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</si>
  <si>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(台幣)</t>
    </r>
    <r>
      <rPr>
        <sz val="12"/>
        <color indexed="12"/>
        <rFont val="新細明體"/>
        <family val="1"/>
        <charset val="136"/>
      </rPr>
      <t>億元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</si>
</sst>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76" formatCode="0.0%"/>
    <numFmt numFmtId="177" formatCode="0.0000_ ;[Red]\-0.0000\ "/>
    <numFmt numFmtId="178" formatCode="_-* #,##0_-;\-* #,##0_-;_-* &quot;-&quot;??_-;_-@_-"/>
  </numFmts>
  <fonts count="40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color theme="1"/>
      <name val="標楷體"/>
      <family val="4"/>
      <charset val="136"/>
    </font>
    <font>
      <sz val="12"/>
      <name val="新細明體"/>
      <family val="1"/>
      <charset val="136"/>
      <scheme val="minor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4"/>
      <color rgb="FF0000FF"/>
      <name val="標楷體"/>
      <family val="4"/>
      <charset val="136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1"/>
      <charset val="136"/>
      <scheme val="major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0" fillId="0" borderId="0" xfId="0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6" fillId="0" borderId="0" xfId="0" applyFont="1" applyBorder="1">
      <alignment vertical="center"/>
    </xf>
    <xf numFmtId="0" fontId="26" fillId="0" borderId="10" xfId="0" applyFont="1" applyBorder="1">
      <alignment vertical="center"/>
    </xf>
    <xf numFmtId="0" fontId="0" fillId="0" borderId="10" xfId="0" applyBorder="1">
      <alignment vertical="center"/>
    </xf>
    <xf numFmtId="0" fontId="27" fillId="0" borderId="10" xfId="0" applyFont="1" applyBorder="1">
      <alignment vertical="center"/>
    </xf>
    <xf numFmtId="14" fontId="28" fillId="0" borderId="10" xfId="0" applyNumberFormat="1" applyFont="1" applyBorder="1" applyAlignment="1"/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33" fillId="0" borderId="0" xfId="0" applyFont="1" applyFill="1">
      <alignment vertical="center"/>
    </xf>
    <xf numFmtId="0" fontId="31" fillId="0" borderId="0" xfId="0" quotePrefix="1" applyFont="1">
      <alignment vertical="center"/>
    </xf>
    <xf numFmtId="0" fontId="33" fillId="0" borderId="0" xfId="0" applyFont="1" applyFill="1" applyAlignment="1">
      <alignment vertical="center" wrapText="1"/>
    </xf>
    <xf numFmtId="0" fontId="6" fillId="0" borderId="0" xfId="0" quotePrefix="1" applyFont="1">
      <alignment vertical="center"/>
    </xf>
    <xf numFmtId="0" fontId="34" fillId="33" borderId="0" xfId="0" applyFont="1" applyFill="1" applyAlignment="1">
      <alignment horizontal="center" vertical="center"/>
    </xf>
    <xf numFmtId="0" fontId="35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25" fillId="0" borderId="0" xfId="0" applyFont="1">
      <alignment vertical="center"/>
    </xf>
    <xf numFmtId="0" fontId="36" fillId="0" borderId="10" xfId="0" quotePrefix="1" applyFont="1" applyBorder="1" applyAlignment="1"/>
    <xf numFmtId="0" fontId="33" fillId="0" borderId="0" xfId="0" applyFont="1" applyFill="1" applyAlignment="1">
      <alignment horizontal="left" vertical="center"/>
    </xf>
    <xf numFmtId="0" fontId="25" fillId="0" borderId="0" xfId="0" applyNumberFormat="1" applyFont="1">
      <alignment vertical="center"/>
    </xf>
    <xf numFmtId="0" fontId="37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32" fillId="33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178" fontId="38" fillId="0" borderId="0" xfId="20" applyNumberFormat="1" applyFont="1" applyAlignment="1">
      <alignment horizontal="right" vertical="center"/>
    </xf>
    <xf numFmtId="178" fontId="25" fillId="0" borderId="0" xfId="20" applyNumberFormat="1" applyFont="1" applyAlignment="1">
      <alignment horizontal="right" vertical="center"/>
    </xf>
    <xf numFmtId="0" fontId="0" fillId="0" borderId="0" xfId="0" applyFont="1">
      <alignment vertical="center"/>
    </xf>
    <xf numFmtId="14" fontId="33" fillId="0" borderId="0" xfId="0" applyNumberFormat="1" applyFont="1" applyFill="1">
      <alignment vertical="center"/>
    </xf>
    <xf numFmtId="0" fontId="39" fillId="0" borderId="0" xfId="0" applyFont="1" applyAlignment="1">
      <alignment vertical="top" wrapText="1"/>
    </xf>
    <xf numFmtId="0" fontId="32" fillId="0" borderId="0" xfId="0" applyFont="1">
      <alignment vertical="center"/>
    </xf>
    <xf numFmtId="0" fontId="39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56"/>
          <c:y val="4.5936061271029713E-2"/>
          <c:w val="0.81639513730860802"/>
          <c:h val="0.803895271287827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3D-4318-AA6A-DB2690E1EA9C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3D-4318-AA6A-DB2690E1EA9C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3D-4318-AA6A-DB2690E1EA9C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3D-4318-AA6A-DB2690E1EA9C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3D-4318-AA6A-DB2690E1EA9C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Data!$B$13:$B$17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5D3D-4318-AA6A-DB2690E1EA9C}"/>
            </c:ext>
          </c:extLst>
        </c:ser>
        <c:ser>
          <c:idx val="1"/>
          <c:order val="1"/>
          <c:tx>
            <c:strRef>
              <c:f>Data!$C$12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</c:spPr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Data!$C$13:$C$17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5D3D-4318-AA6A-DB2690E1E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615584"/>
        <c:axId val="1"/>
      </c:barChart>
      <c:catAx>
        <c:axId val="56561558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65615584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8688127659256271"/>
          <c:y val="5.256279616631631E-2"/>
          <c:w val="0.28085724327194139"/>
          <c:h val="0.15648175199819478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31"/>
          <c:y val="4.5936061271029713E-2"/>
          <c:w val="0.8161373690181305"/>
          <c:h val="0.803895271287826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57-4FB9-9A9F-A48D05C3764E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57-4FB9-9A9F-A48D05C3764E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57-4FB9-9A9F-A48D05C3764E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57-4FB9-9A9F-A48D05C3764E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57-4FB9-9A9F-A48D05C3764E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3257-4FB9-9A9F-A48D05C3764E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3257-4FB9-9A9F-A48D05C37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614928"/>
        <c:axId val="1"/>
      </c:barChart>
      <c:catAx>
        <c:axId val="56561492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65614928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34552610090405367"/>
          <c:y val="5.2562634216177531E-2"/>
          <c:w val="0.28085739282589672"/>
          <c:h val="0.15648198520639467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28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ABA8-4C4C-A266-02178BD9D7EE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ABA8-4C4C-A266-02178BD9D7EE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ABA8-4C4C-A266-02178BD9D7EE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ABA8-4C4C-A266-02178BD9D7EE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ABA8-4C4C-A266-02178BD9D7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</c:strCache>
            </c:strRef>
          </c:cat>
          <c:val>
            <c:numRef>
              <c:f>Data!$B$5:$B$9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ABA8-4C4C-A266-02178BD9D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5B54-4346-98BE-C6DF7CFB712B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5B54-4346-98BE-C6DF7CFB712B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5B54-4346-98BE-C6DF7CFB712B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5B54-4346-98BE-C6DF7CFB712B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5B54-4346-98BE-C6DF7CFB71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</c:strCache>
            </c:strRef>
          </c:cat>
          <c:val>
            <c:numRef>
              <c:f>Data!$D$5:$D$9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5B54-4346-98BE-C6DF7CFB7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8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8FD2-4EAA-9F8E-990CA5A6E2A6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FD2-4EAA-9F8E-990CA5A6E2A6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8FD2-4EAA-9F8E-990CA5A6E2A6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FD2-4EAA-9F8E-990CA5A6E2A6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8FD2-4EAA-9F8E-990CA5A6E2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</c:strCache>
            </c:strRef>
          </c:cat>
          <c:val>
            <c:numRef>
              <c:f>Data!$C$5:$C$9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8FD2-4EAA-9F8E-990CA5A6E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5811-4FF5-A839-CC8A7103D318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5811-4FF5-A839-CC8A7103D318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5811-4FF5-A839-CC8A7103D318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5811-4FF5-A839-CC8A7103D318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5811-4FF5-A839-CC8A7103D318}"/>
              </c:ext>
            </c:extLst>
          </c:dPt>
          <c:dLbls>
            <c:dLbl>
              <c:idx val="2"/>
              <c:layout>
                <c:manualLayout>
                  <c:x val="-0.1336769581433899"/>
                  <c:y val="0.35127754050881299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11-4FF5-A839-CC8A7103D318}"/>
                </c:ext>
              </c:extLst>
            </c:dLbl>
            <c:dLbl>
              <c:idx val="4"/>
              <c:layout>
                <c:manualLayout>
                  <c:x val="-0.14380885366302895"/>
                  <c:y val="0.17791979324472357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11-4FF5-A839-CC8A7103D3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</c:strCache>
            </c:strRef>
          </c:cat>
          <c:val>
            <c:numRef>
              <c:f>Data!$E$5:$E$9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5811-4FF5-A839-CC8A7103D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3224125579995E-2"/>
          <c:y val="3.7950993066165256E-2"/>
          <c:w val="0.89993749262509104"/>
          <c:h val="0.71357141458064366"/>
        </c:manualLayout>
      </c:layout>
      <c:lineChart>
        <c:grouping val="standard"/>
        <c:varyColors val="0"/>
        <c:ser>
          <c:idx val="0"/>
          <c:order val="0"/>
          <c:tx>
            <c:strRef>
              <c:f>走勢圖!$B$1</c:f>
              <c:strCache>
                <c:ptCount val="1"/>
                <c:pt idx="0">
                  <c:v>TOPIX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走勢圖!$B$12:$B$31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3-4174-AC4E-D21525D315A8}"/>
            </c:ext>
          </c:extLst>
        </c:ser>
        <c:ser>
          <c:idx val="2"/>
          <c:order val="2"/>
          <c:tx>
            <c:strRef>
              <c:f>走勢圖!$D$1</c:f>
              <c:strCache>
                <c:ptCount val="1"/>
                <c:pt idx="0">
                  <c:v>TJF(近月)</c:v>
                </c:pt>
              </c:strCache>
            </c:strRef>
          </c:tx>
          <c:spPr>
            <a:ln w="22225">
              <a:solidFill>
                <a:srgbClr val="009900"/>
              </a:solidFill>
            </a:ln>
          </c:spPr>
          <c:marker>
            <c:symbol val="square"/>
            <c:size val="3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3-4174-AC4E-D21525D31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082512"/>
        <c:axId val="1"/>
      </c:lineChart>
      <c:lineChart>
        <c:grouping val="standard"/>
        <c:varyColors val="0"/>
        <c:ser>
          <c:idx val="1"/>
          <c:order val="1"/>
          <c:tx>
            <c:strRef>
              <c:f>走勢圖!$C$1</c:f>
              <c:strCache>
                <c:ptCount val="1"/>
                <c:pt idx="0">
                  <c:v>Nifty 50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走勢圖!$C$12:$C$31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43-4174-AC4E-D21525D315A8}"/>
            </c:ext>
          </c:extLst>
        </c:ser>
        <c:ser>
          <c:idx val="3"/>
          <c:order val="3"/>
          <c:tx>
            <c:strRef>
              <c:f>走勢圖!$E$1</c:f>
              <c:strCache>
                <c:ptCount val="1"/>
                <c:pt idx="0">
                  <c:v>I5F(近月)</c:v>
                </c:pt>
              </c:strCache>
            </c:strRef>
          </c:tx>
          <c:spPr>
            <a:ln w="22225">
              <a:solidFill>
                <a:srgbClr val="FF3399"/>
              </a:solidFill>
            </a:ln>
          </c:spPr>
          <c:marker>
            <c:symbol val="triangle"/>
            <c:size val="3"/>
            <c:spPr>
              <a:solidFill>
                <a:srgbClr val="FF3399"/>
              </a:solidFill>
              <a:ln>
                <a:noFill/>
              </a:ln>
            </c:spPr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走勢圖!$E$12:$E$31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43-4174-AC4E-D21525D31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56608251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</c:spPr>
        <c:txPr>
          <a:bodyPr rot="5400000"/>
          <a:lstStyle/>
          <a:p>
            <a:pPr>
              <a:defRPr/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.0000_);[Red]\(#,##0.0000\)" sourceLinked="0"/>
        <c:majorTickMark val="out"/>
        <c:minorTickMark val="none"/>
        <c:tickLblPos val="nextTo"/>
        <c:crossAx val="566082512"/>
        <c:crosses val="autoZero"/>
        <c:crossBetween val="between"/>
      </c:valAx>
      <c:date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1"/>
        <c:lblOffset val="100"/>
        <c:baseTimeUnit val="days"/>
      </c:date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between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0159666957518163"/>
          <c:y val="0.9045225622947759"/>
          <c:w val="0.83221190809092793"/>
          <c:h val="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160" name="圖片 1">
          <a:extLst>
            <a:ext uri="{FF2B5EF4-FFF2-40B4-BE49-F238E27FC236}">
              <a16:creationId xmlns:a16="http://schemas.microsoft.com/office/drawing/2014/main" id="{8FB8E8C6-42C2-43A2-B2D5-B3D47D475C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</xdr:colOff>
      <xdr:row>12</xdr:row>
      <xdr:rowOff>57150</xdr:rowOff>
    </xdr:from>
    <xdr:to>
      <xdr:col>5</xdr:col>
      <xdr:colOff>123825</xdr:colOff>
      <xdr:row>22</xdr:row>
      <xdr:rowOff>66675</xdr:rowOff>
    </xdr:to>
    <xdr:graphicFrame macro="">
      <xdr:nvGraphicFramePr>
        <xdr:cNvPr id="4161" name="圖表 5">
          <a:extLst>
            <a:ext uri="{FF2B5EF4-FFF2-40B4-BE49-F238E27FC236}">
              <a16:creationId xmlns:a16="http://schemas.microsoft.com/office/drawing/2014/main" id="{5D34A9A1-85AC-43DD-A863-3DE2C5F65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704850</xdr:colOff>
      <xdr:row>22</xdr:row>
      <xdr:rowOff>57150</xdr:rowOff>
    </xdr:to>
    <xdr:graphicFrame macro="">
      <xdr:nvGraphicFramePr>
        <xdr:cNvPr id="4162" name="圖表 6">
          <a:extLst>
            <a:ext uri="{FF2B5EF4-FFF2-40B4-BE49-F238E27FC236}">
              <a16:creationId xmlns:a16="http://schemas.microsoft.com/office/drawing/2014/main" id="{FB4856CB-A833-4F4E-94B9-E8BE91DFC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24</xdr:row>
      <xdr:rowOff>19050</xdr:rowOff>
    </xdr:from>
    <xdr:to>
      <xdr:col>5</xdr:col>
      <xdr:colOff>133350</xdr:colOff>
      <xdr:row>34</xdr:row>
      <xdr:rowOff>9525</xdr:rowOff>
    </xdr:to>
    <xdr:graphicFrame macro="">
      <xdr:nvGraphicFramePr>
        <xdr:cNvPr id="4163" name="圖表 7">
          <a:extLst>
            <a:ext uri="{FF2B5EF4-FFF2-40B4-BE49-F238E27FC236}">
              <a16:creationId xmlns:a16="http://schemas.microsoft.com/office/drawing/2014/main" id="{6531EAF0-2EF1-4CFE-9FB6-6766FDB0D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19050</xdr:rowOff>
    </xdr:from>
    <xdr:to>
      <xdr:col>10</xdr:col>
      <xdr:colOff>695325</xdr:colOff>
      <xdr:row>33</xdr:row>
      <xdr:rowOff>200025</xdr:rowOff>
    </xdr:to>
    <xdr:graphicFrame macro="">
      <xdr:nvGraphicFramePr>
        <xdr:cNvPr id="4164" name="圖表 8">
          <a:extLst>
            <a:ext uri="{FF2B5EF4-FFF2-40B4-BE49-F238E27FC236}">
              <a16:creationId xmlns:a16="http://schemas.microsoft.com/office/drawing/2014/main" id="{7DDB5BCC-EA9D-4DE5-97D0-41E507445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36</xdr:row>
      <xdr:rowOff>19050</xdr:rowOff>
    </xdr:from>
    <xdr:to>
      <xdr:col>5</xdr:col>
      <xdr:colOff>133350</xdr:colOff>
      <xdr:row>45</xdr:row>
      <xdr:rowOff>152400</xdr:rowOff>
    </xdr:to>
    <xdr:graphicFrame macro="">
      <xdr:nvGraphicFramePr>
        <xdr:cNvPr id="4165" name="圖表 9">
          <a:extLst>
            <a:ext uri="{FF2B5EF4-FFF2-40B4-BE49-F238E27FC236}">
              <a16:creationId xmlns:a16="http://schemas.microsoft.com/office/drawing/2014/main" id="{068C6E1D-B03E-4D2A-A2B2-A7F8DD707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409575</xdr:colOff>
      <xdr:row>36</xdr:row>
      <xdr:rowOff>19050</xdr:rowOff>
    </xdr:from>
    <xdr:to>
      <xdr:col>10</xdr:col>
      <xdr:colOff>685800</xdr:colOff>
      <xdr:row>45</xdr:row>
      <xdr:rowOff>161925</xdr:rowOff>
    </xdr:to>
    <xdr:graphicFrame macro="">
      <xdr:nvGraphicFramePr>
        <xdr:cNvPr id="4166" name="圖表 10">
          <a:extLst>
            <a:ext uri="{FF2B5EF4-FFF2-40B4-BE49-F238E27FC236}">
              <a16:creationId xmlns:a16="http://schemas.microsoft.com/office/drawing/2014/main" id="{E061394E-D334-4AAA-B622-5F7553486B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95250</xdr:colOff>
      <xdr:row>50</xdr:row>
      <xdr:rowOff>28575</xdr:rowOff>
    </xdr:from>
    <xdr:to>
      <xdr:col>10</xdr:col>
      <xdr:colOff>704850</xdr:colOff>
      <xdr:row>61</xdr:row>
      <xdr:rowOff>0</xdr:rowOff>
    </xdr:to>
    <xdr:graphicFrame macro="">
      <xdr:nvGraphicFramePr>
        <xdr:cNvPr id="4167" name="圖表 3">
          <a:extLst>
            <a:ext uri="{FF2B5EF4-FFF2-40B4-BE49-F238E27FC236}">
              <a16:creationId xmlns:a16="http://schemas.microsoft.com/office/drawing/2014/main" id="{11A11BE9-D592-403E-BC7F-87E5A97CCB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10</xdr:col>
      <xdr:colOff>47625</xdr:colOff>
      <xdr:row>88</xdr:row>
      <xdr:rowOff>114300</xdr:rowOff>
    </xdr:to>
    <xdr:pic>
      <xdr:nvPicPr>
        <xdr:cNvPr id="4168" name="Picture 1">
          <a:extLst>
            <a:ext uri="{FF2B5EF4-FFF2-40B4-BE49-F238E27FC236}">
              <a16:creationId xmlns:a16="http://schemas.microsoft.com/office/drawing/2014/main" id="{49FC3378-C56D-4319-80E8-CEA2F8930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3344525"/>
          <a:ext cx="6324600" cy="514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4"/>
  <sheetViews>
    <sheetView zoomScale="80" zoomScaleNormal="80" workbookViewId="0">
      <selection activeCell="E23" sqref="E23"/>
    </sheetView>
  </sheetViews>
  <sheetFormatPr defaultColWidth="8.875" defaultRowHeight="16.5"/>
  <cols>
    <col min="1" max="1" width="20.25" style="1" customWidth="1"/>
    <col min="2" max="5" width="13.125" style="1" customWidth="1"/>
    <col min="6" max="6" width="12.875" style="1" bestFit="1" customWidth="1"/>
    <col min="7" max="7" width="22.875" style="1" bestFit="1" customWidth="1"/>
    <col min="8" max="8" width="14.75" style="1" bestFit="1" customWidth="1"/>
    <col min="9" max="9" width="22.875" style="1" bestFit="1" customWidth="1"/>
    <col min="10" max="10" width="20.625" style="1" customWidth="1"/>
    <col min="11" max="16384" width="8.875" style="1"/>
  </cols>
  <sheetData>
    <row r="1" spans="1:7" s="5" customFormat="1">
      <c r="A1" s="39" t="s">
        <v>0</v>
      </c>
      <c r="B1" s="46">
        <f>MIN(A13:A18)</f>
        <v>0</v>
      </c>
      <c r="C1" s="46">
        <f>MAX(A13:A18)</f>
        <v>0</v>
      </c>
    </row>
    <row r="2" spans="1:7" s="5" customFormat="1"/>
    <row r="3" spans="1:7" s="34" customFormat="1">
      <c r="A3" s="30"/>
      <c r="B3" s="30" t="s">
        <v>11</v>
      </c>
      <c r="C3" s="30"/>
      <c r="D3" s="30" t="s">
        <v>10</v>
      </c>
      <c r="E3" s="30"/>
    </row>
    <row r="4" spans="1:7">
      <c r="A4" s="41" t="s">
        <v>22</v>
      </c>
      <c r="B4" s="31" t="s">
        <v>3</v>
      </c>
      <c r="C4" s="30" t="s">
        <v>16</v>
      </c>
      <c r="D4" s="31" t="s">
        <v>3</v>
      </c>
      <c r="E4" s="30" t="s">
        <v>4</v>
      </c>
      <c r="G4" s="2"/>
    </row>
    <row r="5" spans="1:7">
      <c r="A5" s="37" t="s">
        <v>17</v>
      </c>
      <c r="B5" s="38"/>
      <c r="C5" s="35"/>
      <c r="D5" s="38"/>
      <c r="E5" s="35"/>
      <c r="G5" s="2"/>
    </row>
    <row r="6" spans="1:7">
      <c r="A6" s="37" t="s">
        <v>18</v>
      </c>
      <c r="B6" s="38"/>
      <c r="C6" s="35"/>
      <c r="D6" s="38"/>
      <c r="E6" s="35"/>
      <c r="G6" s="2"/>
    </row>
    <row r="7" spans="1:7">
      <c r="A7" s="37" t="s">
        <v>19</v>
      </c>
      <c r="B7" s="38"/>
      <c r="C7" s="35"/>
      <c r="D7" s="38"/>
      <c r="E7" s="35"/>
    </row>
    <row r="8" spans="1:7">
      <c r="A8" s="37" t="s">
        <v>20</v>
      </c>
      <c r="B8" s="38"/>
      <c r="C8" s="35"/>
      <c r="D8" s="38"/>
      <c r="E8" s="35"/>
      <c r="G8" s="34"/>
    </row>
    <row r="9" spans="1:7">
      <c r="A9" s="37" t="s">
        <v>21</v>
      </c>
      <c r="B9" s="38"/>
      <c r="C9" s="35"/>
      <c r="D9" s="38"/>
      <c r="E9" s="35"/>
      <c r="G9" s="34"/>
    </row>
    <row r="10" spans="1:7">
      <c r="A10" s="32"/>
      <c r="B10" s="4"/>
      <c r="D10" s="3"/>
      <c r="E10" s="3"/>
    </row>
    <row r="11" spans="1:7">
      <c r="A11" s="30"/>
      <c r="B11" s="30" t="s">
        <v>11</v>
      </c>
      <c r="C11" s="30"/>
      <c r="D11" s="30" t="s">
        <v>10</v>
      </c>
      <c r="E11" s="30"/>
    </row>
    <row r="12" spans="1:7">
      <c r="A12" s="30" t="s">
        <v>2</v>
      </c>
      <c r="B12" s="31" t="s">
        <v>3</v>
      </c>
      <c r="C12" s="30" t="s">
        <v>16</v>
      </c>
      <c r="D12" s="31" t="s">
        <v>3</v>
      </c>
      <c r="E12" s="30" t="s">
        <v>4</v>
      </c>
    </row>
    <row r="13" spans="1:7">
      <c r="A13" s="40"/>
      <c r="B13" s="38"/>
      <c r="C13" s="38"/>
      <c r="D13" s="38"/>
      <c r="E13" s="38"/>
    </row>
    <row r="14" spans="1:7">
      <c r="A14" s="40"/>
      <c r="B14" s="38"/>
      <c r="C14" s="38"/>
      <c r="D14" s="38"/>
      <c r="E14" s="38"/>
    </row>
    <row r="15" spans="1:7">
      <c r="A15" s="40"/>
      <c r="B15" s="38"/>
      <c r="C15" s="38"/>
      <c r="D15" s="38"/>
      <c r="E15" s="38"/>
    </row>
    <row r="16" spans="1:7">
      <c r="A16" s="40"/>
      <c r="B16" s="38"/>
      <c r="C16" s="38"/>
      <c r="D16" s="38"/>
      <c r="E16" s="38"/>
    </row>
    <row r="17" spans="1:5">
      <c r="A17" s="40"/>
      <c r="B17" s="38"/>
      <c r="C17" s="38"/>
      <c r="D17" s="38"/>
      <c r="E17" s="38"/>
    </row>
    <row r="18" spans="1:5">
      <c r="A18" s="2"/>
      <c r="D18" s="3"/>
      <c r="E18" s="3"/>
    </row>
    <row r="19" spans="1:5">
      <c r="A19" s="2"/>
      <c r="D19" s="3"/>
      <c r="E19" s="3"/>
    </row>
    <row r="20" spans="1:5" s="34" customFormat="1">
      <c r="A20" s="30"/>
      <c r="B20" s="30" t="s">
        <v>11</v>
      </c>
      <c r="C20" s="30"/>
      <c r="D20" s="30" t="s">
        <v>10</v>
      </c>
      <c r="E20" s="30"/>
    </row>
    <row r="21" spans="1:5" s="34" customFormat="1">
      <c r="A21" s="30" t="s">
        <v>23</v>
      </c>
      <c r="B21" s="30" t="s">
        <v>24</v>
      </c>
      <c r="C21" s="30" t="s">
        <v>25</v>
      </c>
      <c r="D21" s="30" t="s">
        <v>24</v>
      </c>
      <c r="E21" s="30" t="s">
        <v>25</v>
      </c>
    </row>
    <row r="22" spans="1:5">
      <c r="A22" s="45" t="str">
        <f>YEAR(B1)&amp;"/"&amp;MONTH(B1)&amp;"/"&amp;"/"&amp;DAY(B1)&amp;"~"&amp;YEAR(C1)&amp;"/"&amp;MONTH(C1)&amp;"/"&amp;DAY(C1)</f>
        <v>1900/1//0~1900/1/0</v>
      </c>
      <c r="B22" s="1" t="e">
        <f>ROUND(AVERAGE(B13:B18),0)</f>
        <v>#DIV/0!</v>
      </c>
      <c r="C22" s="1" t="e">
        <f>VLOOKUP($C$1,$A$13:$E$18,3,FALSE)</f>
        <v>#N/A</v>
      </c>
      <c r="D22" s="34" t="e">
        <f>ROUND(AVERAGE(D13:D18),0)</f>
        <v>#DIV/0!</v>
      </c>
      <c r="E22" s="34" t="e">
        <f>VLOOKUP($C$1,$A$13:$E$18,5,FALSE)</f>
        <v>#N/A</v>
      </c>
    </row>
    <row r="23" spans="1:5" ht="33">
      <c r="A23" s="42" t="s">
        <v>26</v>
      </c>
      <c r="B23" s="44"/>
      <c r="D23" s="43"/>
      <c r="E23" s="3"/>
    </row>
    <row r="24" spans="1:5" ht="33">
      <c r="A24" s="42" t="s">
        <v>27</v>
      </c>
      <c r="B24" s="1">
        <f>ROUND(B23/100000000,2)</f>
        <v>0</v>
      </c>
      <c r="D24" s="34">
        <f>ROUND(D23/100000000,2)</f>
        <v>0</v>
      </c>
      <c r="E24" s="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44"/>
  <sheetViews>
    <sheetView topLeftCell="B1" zoomScaleNormal="100" workbookViewId="0">
      <pane ySplit="1" topLeftCell="A2" activePane="bottomLeft" state="frozen"/>
      <selection pane="bottomLeft" activeCell="H1" sqref="H1:AH65536"/>
    </sheetView>
  </sheetViews>
  <sheetFormatPr defaultColWidth="8.875" defaultRowHeight="16.5"/>
  <cols>
    <col min="1" max="1" width="12.125" style="6" customWidth="1"/>
    <col min="2" max="2" width="8.875" style="7"/>
    <col min="3" max="3" width="14.375" style="7" customWidth="1"/>
    <col min="4" max="4" width="13.875" style="7" bestFit="1" customWidth="1"/>
    <col min="5" max="6" width="13.875" style="7" customWidth="1"/>
    <col min="7" max="7" width="15.125" style="7" customWidth="1"/>
    <col min="8" max="16384" width="8.875" style="7"/>
  </cols>
  <sheetData>
    <row r="1" spans="1:7">
      <c r="B1" s="7" t="s">
        <v>12</v>
      </c>
      <c r="C1" s="7" t="s">
        <v>13</v>
      </c>
      <c r="D1" s="7" t="s">
        <v>14</v>
      </c>
      <c r="E1" s="7" t="s">
        <v>15</v>
      </c>
    </row>
    <row r="2" spans="1:7">
      <c r="A2" s="8">
        <v>42681</v>
      </c>
      <c r="B2" s="7">
        <v>0</v>
      </c>
      <c r="C2" s="7">
        <v>0</v>
      </c>
      <c r="D2" s="7">
        <v>0</v>
      </c>
      <c r="E2" s="7">
        <v>0</v>
      </c>
    </row>
    <row r="3" spans="1:7">
      <c r="A3" s="8">
        <v>42682</v>
      </c>
      <c r="B3" s="7">
        <v>0</v>
      </c>
      <c r="C3" s="7">
        <v>0</v>
      </c>
      <c r="D3" s="7">
        <v>0</v>
      </c>
      <c r="E3" s="7">
        <v>0</v>
      </c>
    </row>
    <row r="4" spans="1:7">
      <c r="A4" s="8">
        <v>42683</v>
      </c>
      <c r="B4" s="7">
        <v>0</v>
      </c>
      <c r="C4" s="7">
        <v>0</v>
      </c>
      <c r="D4" s="7">
        <v>0</v>
      </c>
      <c r="E4" s="7">
        <v>0</v>
      </c>
    </row>
    <row r="5" spans="1:7">
      <c r="A5" s="8">
        <v>42684</v>
      </c>
      <c r="B5" s="7">
        <v>0</v>
      </c>
      <c r="C5" s="7">
        <v>0</v>
      </c>
      <c r="D5" s="7">
        <v>0</v>
      </c>
      <c r="E5" s="7">
        <v>0</v>
      </c>
    </row>
    <row r="6" spans="1:7">
      <c r="A6" s="8">
        <v>42685</v>
      </c>
      <c r="B6" s="7">
        <v>0</v>
      </c>
      <c r="C6" s="7">
        <v>0</v>
      </c>
      <c r="D6" s="7">
        <v>0</v>
      </c>
      <c r="E6" s="7">
        <v>0</v>
      </c>
    </row>
    <row r="7" spans="1:7">
      <c r="A7" s="8">
        <v>42688</v>
      </c>
      <c r="B7" s="7">
        <v>0</v>
      </c>
      <c r="C7" s="7">
        <v>0</v>
      </c>
      <c r="D7" s="7">
        <v>0</v>
      </c>
      <c r="E7" s="7">
        <v>0</v>
      </c>
    </row>
    <row r="8" spans="1:7">
      <c r="A8" s="8">
        <v>42689</v>
      </c>
      <c r="B8" s="7">
        <v>0</v>
      </c>
      <c r="C8" s="7">
        <v>0</v>
      </c>
      <c r="D8" s="7">
        <v>0</v>
      </c>
      <c r="E8" s="7">
        <v>0</v>
      </c>
    </row>
    <row r="9" spans="1:7">
      <c r="A9" s="8">
        <v>42690</v>
      </c>
      <c r="B9" s="7">
        <v>0</v>
      </c>
      <c r="C9" s="7">
        <v>0</v>
      </c>
      <c r="D9" s="7">
        <v>0</v>
      </c>
      <c r="E9" s="7">
        <v>0</v>
      </c>
    </row>
    <row r="10" spans="1:7">
      <c r="A10" s="8">
        <v>42691</v>
      </c>
      <c r="B10" s="7">
        <v>0</v>
      </c>
      <c r="C10" s="7">
        <v>0</v>
      </c>
      <c r="D10" s="7">
        <v>0</v>
      </c>
      <c r="E10" s="7">
        <v>0</v>
      </c>
    </row>
    <row r="11" spans="1:7">
      <c r="A11" s="8">
        <v>42692</v>
      </c>
      <c r="B11" s="7">
        <v>0</v>
      </c>
      <c r="C11" s="7">
        <v>0</v>
      </c>
      <c r="D11" s="7">
        <v>0</v>
      </c>
      <c r="E11" s="7">
        <v>0</v>
      </c>
    </row>
    <row r="12" spans="1:7">
      <c r="A12" s="8">
        <v>42695</v>
      </c>
      <c r="B12" s="7">
        <v>0</v>
      </c>
      <c r="C12" s="7">
        <v>0</v>
      </c>
      <c r="D12" s="7">
        <v>0</v>
      </c>
      <c r="E12" s="7">
        <v>0</v>
      </c>
    </row>
    <row r="13" spans="1:7">
      <c r="A13" s="8">
        <v>42696</v>
      </c>
      <c r="B13" s="7">
        <v>0</v>
      </c>
      <c r="C13" s="7">
        <v>0</v>
      </c>
      <c r="D13" s="7">
        <v>0</v>
      </c>
      <c r="E13" s="7">
        <v>0</v>
      </c>
    </row>
    <row r="14" spans="1:7">
      <c r="A14" s="8">
        <v>42697</v>
      </c>
      <c r="B14" s="7">
        <v>0</v>
      </c>
      <c r="C14" s="7">
        <v>0</v>
      </c>
      <c r="D14" s="7">
        <v>0</v>
      </c>
      <c r="E14" s="7">
        <v>0</v>
      </c>
    </row>
    <row r="15" spans="1:7">
      <c r="A15" s="8">
        <v>42698</v>
      </c>
      <c r="B15" s="7">
        <v>0</v>
      </c>
      <c r="C15" s="7">
        <v>0</v>
      </c>
      <c r="D15" s="7">
        <v>0</v>
      </c>
      <c r="E15" s="7">
        <v>0</v>
      </c>
      <c r="G15" s="5"/>
    </row>
    <row r="16" spans="1:7">
      <c r="A16" s="8">
        <v>42699</v>
      </c>
      <c r="B16" s="7">
        <v>0</v>
      </c>
      <c r="C16" s="7">
        <v>0</v>
      </c>
      <c r="D16" s="7">
        <v>0</v>
      </c>
      <c r="E16" s="7">
        <v>0</v>
      </c>
    </row>
    <row r="17" spans="1:5">
      <c r="A17" s="8">
        <v>42702</v>
      </c>
      <c r="B17" s="7">
        <v>0</v>
      </c>
      <c r="C17" s="7">
        <v>0</v>
      </c>
      <c r="D17" s="7">
        <v>0</v>
      </c>
      <c r="E17" s="7">
        <v>0</v>
      </c>
    </row>
    <row r="18" spans="1:5">
      <c r="A18" s="8">
        <v>42703</v>
      </c>
      <c r="B18" s="7">
        <v>0</v>
      </c>
      <c r="C18" s="7">
        <v>0</v>
      </c>
      <c r="D18" s="7">
        <v>0</v>
      </c>
      <c r="E18" s="7">
        <v>0</v>
      </c>
    </row>
    <row r="19" spans="1:5">
      <c r="A19" s="8">
        <v>42704</v>
      </c>
      <c r="B19" s="7">
        <v>0</v>
      </c>
      <c r="C19" s="7">
        <v>0</v>
      </c>
      <c r="D19" s="7">
        <v>0</v>
      </c>
      <c r="E19" s="7">
        <v>0</v>
      </c>
    </row>
    <row r="20" spans="1:5">
      <c r="A20" s="8">
        <v>42705</v>
      </c>
      <c r="B20" s="7">
        <v>0</v>
      </c>
      <c r="C20" s="7">
        <v>0</v>
      </c>
      <c r="D20" s="7">
        <v>0</v>
      </c>
      <c r="E20" s="7">
        <v>0</v>
      </c>
    </row>
    <row r="21" spans="1:5">
      <c r="A21" s="8">
        <v>42706</v>
      </c>
      <c r="B21" s="7">
        <v>0</v>
      </c>
      <c r="C21" s="7">
        <v>0</v>
      </c>
      <c r="D21" s="7">
        <v>0</v>
      </c>
      <c r="E21" s="7">
        <v>0</v>
      </c>
    </row>
    <row r="22" spans="1:5">
      <c r="A22" s="8">
        <v>42709</v>
      </c>
      <c r="B22" s="7">
        <v>0</v>
      </c>
      <c r="C22" s="7">
        <v>0</v>
      </c>
      <c r="D22" s="7">
        <v>0</v>
      </c>
      <c r="E22" s="7">
        <v>0</v>
      </c>
    </row>
    <row r="23" spans="1:5">
      <c r="A23" s="8">
        <v>42710</v>
      </c>
      <c r="B23" s="7">
        <v>0</v>
      </c>
      <c r="C23" s="7">
        <v>0</v>
      </c>
      <c r="D23" s="7">
        <v>0</v>
      </c>
      <c r="E23" s="7">
        <v>0</v>
      </c>
    </row>
    <row r="24" spans="1:5">
      <c r="A24" s="8">
        <v>42711</v>
      </c>
      <c r="B24" s="7">
        <v>0</v>
      </c>
      <c r="C24" s="7">
        <v>0</v>
      </c>
      <c r="D24" s="7">
        <v>0</v>
      </c>
      <c r="E24" s="7">
        <v>0</v>
      </c>
    </row>
    <row r="25" spans="1:5">
      <c r="A25" s="8">
        <v>42712</v>
      </c>
      <c r="B25" s="7">
        <v>0</v>
      </c>
      <c r="C25" s="7">
        <v>0</v>
      </c>
      <c r="D25" s="7">
        <v>0</v>
      </c>
      <c r="E25" s="7">
        <v>0</v>
      </c>
    </row>
    <row r="26" spans="1:5">
      <c r="A26" s="8">
        <v>42713</v>
      </c>
      <c r="B26" s="7">
        <v>0</v>
      </c>
      <c r="C26" s="7">
        <v>0</v>
      </c>
      <c r="D26" s="7">
        <v>0</v>
      </c>
      <c r="E26" s="7">
        <v>0</v>
      </c>
    </row>
    <row r="27" spans="1:5">
      <c r="A27" s="8">
        <v>42716</v>
      </c>
      <c r="B27" s="7">
        <v>0</v>
      </c>
      <c r="C27" s="7">
        <v>0</v>
      </c>
      <c r="D27" s="7">
        <v>0</v>
      </c>
      <c r="E27" s="7">
        <v>0</v>
      </c>
    </row>
    <row r="28" spans="1:5">
      <c r="A28" s="8">
        <v>42717</v>
      </c>
      <c r="B28" s="7">
        <v>0</v>
      </c>
      <c r="C28" s="7">
        <v>0</v>
      </c>
      <c r="D28" s="7">
        <v>0</v>
      </c>
      <c r="E28" s="7">
        <v>0</v>
      </c>
    </row>
    <row r="29" spans="1:5">
      <c r="A29" s="8">
        <v>42718</v>
      </c>
      <c r="B29" s="7">
        <v>0</v>
      </c>
      <c r="C29" s="7">
        <v>0</v>
      </c>
      <c r="D29" s="7">
        <v>0</v>
      </c>
      <c r="E29" s="7">
        <v>0</v>
      </c>
    </row>
    <row r="30" spans="1:5">
      <c r="A30" s="8">
        <v>42719</v>
      </c>
      <c r="B30" s="7">
        <v>0</v>
      </c>
      <c r="C30" s="7">
        <v>0</v>
      </c>
      <c r="D30" s="7">
        <v>0</v>
      </c>
      <c r="E30" s="7">
        <v>0</v>
      </c>
    </row>
    <row r="31" spans="1:5">
      <c r="A31" s="8">
        <v>42720</v>
      </c>
      <c r="B31" s="7">
        <v>0</v>
      </c>
      <c r="C31" s="7">
        <v>0</v>
      </c>
      <c r="D31" s="7">
        <v>0</v>
      </c>
      <c r="E31" s="7">
        <v>0</v>
      </c>
    </row>
    <row r="32" spans="1:5">
      <c r="A32" s="8"/>
    </row>
    <row r="33" spans="1:1">
      <c r="A33" s="8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10"/>
    </row>
    <row r="98" spans="1:1">
      <c r="A98" s="10"/>
    </row>
    <row r="99" spans="1:1">
      <c r="A99" s="10"/>
    </row>
    <row r="100" spans="1:1">
      <c r="A100" s="10"/>
    </row>
    <row r="101" spans="1:1">
      <c r="A101" s="10"/>
    </row>
    <row r="102" spans="1:1">
      <c r="A102" s="10"/>
    </row>
    <row r="103" spans="1:1">
      <c r="A103" s="10"/>
    </row>
    <row r="104" spans="1:1">
      <c r="A104" s="10"/>
    </row>
    <row r="105" spans="1:1">
      <c r="A105" s="10"/>
    </row>
    <row r="106" spans="1:1">
      <c r="A106" s="10"/>
    </row>
    <row r="107" spans="1:1">
      <c r="A107" s="10"/>
    </row>
    <row r="108" spans="1:1">
      <c r="A108" s="10"/>
    </row>
    <row r="109" spans="1:1">
      <c r="A109" s="10"/>
    </row>
    <row r="110" spans="1:1">
      <c r="A110" s="10"/>
    </row>
    <row r="111" spans="1:1">
      <c r="A111" s="10"/>
    </row>
    <row r="112" spans="1:1">
      <c r="A112" s="10"/>
    </row>
    <row r="113" spans="1:1">
      <c r="A113" s="10"/>
    </row>
    <row r="114" spans="1:1">
      <c r="A114" s="10"/>
    </row>
    <row r="115" spans="1:1">
      <c r="A115" s="10"/>
    </row>
    <row r="116" spans="1:1">
      <c r="A116" s="10"/>
    </row>
    <row r="117" spans="1:1">
      <c r="A117" s="10"/>
    </row>
    <row r="118" spans="1:1">
      <c r="A118" s="10"/>
    </row>
    <row r="119" spans="1:1">
      <c r="A119" s="10"/>
    </row>
    <row r="120" spans="1:1">
      <c r="A120" s="10"/>
    </row>
    <row r="121" spans="1:1">
      <c r="A121" s="10"/>
    </row>
    <row r="122" spans="1:1">
      <c r="A122" s="10"/>
    </row>
    <row r="123" spans="1:1">
      <c r="A123" s="10"/>
    </row>
    <row r="124" spans="1:1">
      <c r="A124" s="10"/>
    </row>
    <row r="125" spans="1:1">
      <c r="A125" s="10"/>
    </row>
    <row r="126" spans="1:1">
      <c r="A126" s="10"/>
    </row>
    <row r="127" spans="1:1">
      <c r="A127" s="10"/>
    </row>
    <row r="128" spans="1:1">
      <c r="A128" s="10"/>
    </row>
    <row r="129" spans="1:3">
      <c r="A129" s="10"/>
    </row>
    <row r="130" spans="1:3">
      <c r="A130" s="10"/>
    </row>
    <row r="131" spans="1:3">
      <c r="A131" s="10"/>
      <c r="B131" s="11"/>
    </row>
    <row r="132" spans="1:3">
      <c r="A132" s="10"/>
      <c r="B132" s="11"/>
    </row>
    <row r="133" spans="1:3">
      <c r="A133" s="10"/>
      <c r="B133" s="11"/>
    </row>
    <row r="134" spans="1:3">
      <c r="A134" s="10"/>
      <c r="B134" s="11"/>
    </row>
    <row r="135" spans="1:3">
      <c r="A135" s="10"/>
    </row>
    <row r="136" spans="1:3">
      <c r="A136" s="10"/>
    </row>
    <row r="137" spans="1:3">
      <c r="A137" s="10"/>
    </row>
    <row r="138" spans="1:3">
      <c r="A138" s="10"/>
    </row>
    <row r="139" spans="1:3">
      <c r="A139" s="10"/>
    </row>
    <row r="140" spans="1:3">
      <c r="A140" s="10"/>
    </row>
    <row r="141" spans="1:3">
      <c r="A141" s="10"/>
      <c r="C141" s="11"/>
    </row>
    <row r="142" spans="1:3">
      <c r="A142" s="10"/>
      <c r="C142" s="11"/>
    </row>
    <row r="143" spans="1:3">
      <c r="A143" s="10"/>
      <c r="C143" s="11"/>
    </row>
    <row r="144" spans="1:3">
      <c r="A144" s="10"/>
      <c r="C144" s="11"/>
    </row>
    <row r="145" spans="1:1">
      <c r="A145" s="10"/>
    </row>
    <row r="146" spans="1:1">
      <c r="A146" s="10"/>
    </row>
    <row r="147" spans="1:1">
      <c r="A147" s="10"/>
    </row>
    <row r="148" spans="1:1">
      <c r="A148" s="10"/>
    </row>
    <row r="149" spans="1:1">
      <c r="A149" s="10"/>
    </row>
    <row r="150" spans="1:1">
      <c r="A150" s="10"/>
    </row>
    <row r="151" spans="1:1">
      <c r="A151" s="10"/>
    </row>
    <row r="152" spans="1:1">
      <c r="A152" s="10"/>
    </row>
    <row r="153" spans="1:1">
      <c r="A153" s="10"/>
    </row>
    <row r="154" spans="1:1">
      <c r="A154" s="10"/>
    </row>
    <row r="155" spans="1:1">
      <c r="A155" s="10"/>
    </row>
    <row r="156" spans="1:1">
      <c r="A156" s="10"/>
    </row>
    <row r="157" spans="1:1">
      <c r="A157" s="10"/>
    </row>
    <row r="158" spans="1:1">
      <c r="A158" s="10"/>
    </row>
    <row r="159" spans="1:1">
      <c r="A159" s="10"/>
    </row>
    <row r="160" spans="1:1">
      <c r="A160" s="10"/>
    </row>
    <row r="161" spans="1:1">
      <c r="A161" s="10"/>
    </row>
    <row r="162" spans="1:1">
      <c r="A162" s="10"/>
    </row>
    <row r="163" spans="1:1">
      <c r="A163" s="10"/>
    </row>
    <row r="164" spans="1:1">
      <c r="A164" s="10"/>
    </row>
    <row r="165" spans="1:1">
      <c r="A165" s="10"/>
    </row>
    <row r="166" spans="1:1">
      <c r="A166" s="10"/>
    </row>
    <row r="167" spans="1:1">
      <c r="A167" s="10"/>
    </row>
    <row r="168" spans="1:1">
      <c r="A168" s="10"/>
    </row>
    <row r="169" spans="1:1">
      <c r="A169" s="10"/>
    </row>
    <row r="170" spans="1:1">
      <c r="A170" s="10"/>
    </row>
    <row r="171" spans="1:1">
      <c r="A171" s="10"/>
    </row>
    <row r="172" spans="1:1">
      <c r="A172" s="10"/>
    </row>
    <row r="173" spans="1:1">
      <c r="A173" s="10"/>
    </row>
    <row r="174" spans="1:1">
      <c r="A174" s="10"/>
    </row>
    <row r="175" spans="1:1">
      <c r="A175" s="10"/>
    </row>
    <row r="176" spans="1:1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96"/>
  <sheetViews>
    <sheetView tabSelected="1" topLeftCell="A16" zoomScaleNormal="100" zoomScaleSheetLayoutView="100" workbookViewId="0">
      <selection activeCell="L15" sqref="L15"/>
    </sheetView>
  </sheetViews>
  <sheetFormatPr defaultRowHeight="16.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9.125" customWidth="1"/>
    <col min="11" max="11" width="11" customWidth="1"/>
    <col min="12" max="12" width="8.875" customWidth="1"/>
    <col min="13" max="13" width="9.625" bestFit="1" customWidth="1"/>
  </cols>
  <sheetData>
    <row r="1" spans="1:17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7">
      <c r="A2" s="13"/>
      <c r="B2" s="13"/>
      <c r="C2" s="13"/>
      <c r="D2" s="13"/>
      <c r="E2" s="13"/>
      <c r="F2" s="13"/>
      <c r="G2" s="13"/>
      <c r="H2" s="13"/>
      <c r="I2" s="13"/>
      <c r="J2" s="13"/>
    </row>
    <row r="3" spans="1:17" ht="18" customHeight="1" thickBot="1">
      <c r="A3" s="14"/>
      <c r="B3" s="14"/>
      <c r="C3" s="14"/>
      <c r="D3" s="14"/>
      <c r="E3" s="36" t="s">
        <v>5</v>
      </c>
      <c r="F3" s="16"/>
      <c r="G3" s="14"/>
      <c r="H3" s="14"/>
      <c r="I3" s="14"/>
      <c r="J3" s="14"/>
      <c r="K3" s="17">
        <f>Data!C1</f>
        <v>0</v>
      </c>
    </row>
    <row r="4" spans="1:17" ht="7.15" customHeight="1"/>
    <row r="5" spans="1:17" ht="19.5">
      <c r="A5" s="18" t="str">
        <f>"交易概況("&amp;YEAR(Data!$B$1)&amp;"/"&amp;MONTH(Data!$B$1)&amp;"/"&amp;DAY(Data!$B$1)&amp;"~"&amp;MONTH(Data!$C$1)&amp;"/"&amp;DAY(Data!$C$1)&amp;")"</f>
        <v>交易概況(1900/1/0~1/0)</v>
      </c>
    </row>
    <row r="6" spans="1:17" ht="15.6" customHeight="1">
      <c r="A6" s="19" t="s">
        <v>1</v>
      </c>
      <c r="B6" s="47" t="e">
        <f>"本週東證期貨(TJF)日均量為"&amp;TEXT(Data!$B$22,"#,000")&amp;"口，印度50期貨(I5F)為"&amp;TEXT(Data!$D$22,"#,000")&amp;"口。同期間TJF契約成交名目本金約"&amp;TEXT(Data!$B$24,"0.00")&amp;"億台幣，I5F約為"&amp;TEXT(Data!$D$24,"0.00")&amp;"億台幣。"</f>
        <v>#DIV/0!</v>
      </c>
      <c r="C6" s="48"/>
      <c r="D6" s="48"/>
      <c r="E6" s="48"/>
      <c r="F6" s="48"/>
      <c r="G6" s="48"/>
      <c r="H6" s="48"/>
      <c r="I6" s="48"/>
      <c r="J6" s="48"/>
      <c r="K6" s="48"/>
    </row>
    <row r="7" spans="1:17" ht="15.6" customHeight="1"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7" ht="15.6" customHeight="1">
      <c r="B8" s="48"/>
      <c r="C8" s="48"/>
      <c r="D8" s="48"/>
      <c r="E8" s="48"/>
      <c r="F8" s="48"/>
      <c r="G8" s="48"/>
      <c r="H8" s="48"/>
      <c r="I8" s="48"/>
      <c r="J8" s="48"/>
      <c r="K8" s="48"/>
    </row>
    <row r="9" spans="1:17" ht="15.6" customHeight="1">
      <c r="B9" s="48"/>
      <c r="C9" s="48"/>
      <c r="D9" s="48"/>
      <c r="E9" s="48"/>
      <c r="F9" s="48"/>
      <c r="G9" s="48"/>
      <c r="H9" s="48"/>
      <c r="I9" s="48"/>
      <c r="J9" s="48"/>
      <c r="K9" s="48"/>
    </row>
    <row r="10" spans="1:17" ht="19.5">
      <c r="A10" s="19" t="s">
        <v>1</v>
      </c>
      <c r="B10" s="49" t="e">
        <f>MONTH(Data!$C$1)&amp;"月"&amp;DAY(Data!$C$1)&amp;"日收盤TJF未平倉量為"&amp;TEXT(Data!$C$22,"#,000")&amp;"口，I5F為"&amp;TEXT(Data!$E$22,"#,000")&amp;"口。"</f>
        <v>#N/A</v>
      </c>
      <c r="C10" s="49"/>
      <c r="D10" s="49"/>
      <c r="E10" s="49"/>
      <c r="F10" s="49"/>
      <c r="G10" s="49"/>
      <c r="H10" s="49"/>
      <c r="I10" s="49"/>
      <c r="J10" s="49"/>
      <c r="K10" s="49"/>
    </row>
    <row r="11" spans="1:17" ht="13.9" customHeight="1"/>
    <row r="12" spans="1:17">
      <c r="B12" s="20" t="s">
        <v>6</v>
      </c>
      <c r="G12" s="27" t="s">
        <v>7</v>
      </c>
    </row>
    <row r="13" spans="1:17">
      <c r="M13" s="26"/>
      <c r="N13" s="26"/>
      <c r="O13" s="26"/>
      <c r="P13" s="26"/>
      <c r="Q13" s="26"/>
    </row>
    <row r="14" spans="1:17">
      <c r="M14" s="26"/>
      <c r="N14" s="26"/>
      <c r="O14" s="26"/>
      <c r="P14" s="26"/>
      <c r="Q14" s="26"/>
    </row>
    <row r="15" spans="1:17">
      <c r="M15" s="26"/>
      <c r="N15" s="26"/>
      <c r="O15" s="26"/>
      <c r="P15" s="26"/>
      <c r="Q15" s="26"/>
    </row>
    <row r="16" spans="1:17">
      <c r="M16" s="26"/>
      <c r="N16" s="26"/>
      <c r="O16" s="26"/>
      <c r="P16" s="26"/>
      <c r="Q16" s="26"/>
    </row>
    <row r="17" spans="2:17">
      <c r="M17" s="26"/>
      <c r="N17" s="26"/>
      <c r="O17" s="26"/>
      <c r="P17" s="26"/>
      <c r="Q17" s="26"/>
    </row>
    <row r="18" spans="2:17">
      <c r="M18" s="28"/>
      <c r="N18" s="28"/>
      <c r="O18" s="28"/>
      <c r="P18" s="28"/>
      <c r="Q18" s="28"/>
    </row>
    <row r="19" spans="2:17">
      <c r="M19" s="28"/>
      <c r="N19" s="28"/>
      <c r="O19" s="28"/>
      <c r="P19" s="28"/>
      <c r="Q19" s="28"/>
    </row>
    <row r="20" spans="2:17">
      <c r="M20" s="28"/>
      <c r="N20" s="28"/>
      <c r="O20" s="28"/>
      <c r="P20" s="28"/>
      <c r="Q20" s="28"/>
    </row>
    <row r="21" spans="2:17">
      <c r="M21" s="28"/>
      <c r="N21" s="28"/>
      <c r="O21" s="28"/>
      <c r="P21" s="28"/>
      <c r="Q21" s="28"/>
    </row>
    <row r="22" spans="2:17">
      <c r="M22" s="28"/>
      <c r="N22" s="28"/>
      <c r="O22" s="28"/>
      <c r="P22" s="28"/>
      <c r="Q22" s="28"/>
    </row>
    <row r="23" spans="2:17">
      <c r="M23" s="28"/>
      <c r="N23" s="28"/>
      <c r="O23" s="28"/>
      <c r="P23" s="28"/>
      <c r="Q23" s="28"/>
    </row>
    <row r="24" spans="2:17">
      <c r="B24" s="25" t="str">
        <f>"TJF交易量分布(依到期月份) -"&amp;MONTH(Data!$B$1)&amp;"/"&amp;DAY(Data!$B$1)&amp;"~"&amp;MONTH(Data!$C$1)&amp;"/"&amp;DAY(Data!$C$1)</f>
        <v>TJF交易量分布(依到期月份) -1/0~1/0</v>
      </c>
      <c r="G24" s="29" t="str">
        <f>"I5F交易量分布(依到期月份) -"&amp;MONTH(Data!$B$1)&amp;"/"&amp;DAY(Data!$B$1)&amp;"~"&amp;MONTH(Data!$C$1)&amp;"/"&amp;DAY(Data!$C$1)</f>
        <v>I5F交易量分布(依到期月份) -1/0~1/0</v>
      </c>
      <c r="M24" s="26"/>
      <c r="N24" s="26"/>
      <c r="O24" s="26"/>
      <c r="P24" s="26"/>
      <c r="Q24" s="26"/>
    </row>
    <row r="25" spans="2:17">
      <c r="M25" s="26"/>
      <c r="N25" s="26"/>
      <c r="O25" s="26"/>
      <c r="P25" s="26"/>
      <c r="Q25" s="26"/>
    </row>
    <row r="26" spans="2:17">
      <c r="M26" s="26"/>
      <c r="N26" s="26"/>
      <c r="O26" s="26"/>
      <c r="P26" s="26"/>
      <c r="Q26" s="26"/>
    </row>
    <row r="27" spans="2:17">
      <c r="M27" s="26"/>
      <c r="N27" s="26"/>
      <c r="O27" s="26"/>
      <c r="P27" s="26"/>
      <c r="Q27" s="26"/>
    </row>
    <row r="28" spans="2:17">
      <c r="M28" s="26"/>
      <c r="N28" s="26"/>
      <c r="O28" s="26"/>
      <c r="P28" s="26"/>
      <c r="Q28" s="26"/>
    </row>
    <row r="29" spans="2:17">
      <c r="M29" s="26"/>
      <c r="N29" s="26"/>
      <c r="O29" s="26"/>
      <c r="P29" s="26"/>
      <c r="Q29" s="26"/>
    </row>
    <row r="30" spans="2:17">
      <c r="M30" s="26"/>
      <c r="N30" s="26"/>
      <c r="O30" s="26"/>
      <c r="P30" s="26"/>
      <c r="Q30" s="26"/>
    </row>
    <row r="31" spans="2:17">
      <c r="M31" s="26"/>
      <c r="N31" s="26"/>
      <c r="O31" s="26"/>
      <c r="P31" s="26"/>
      <c r="Q31" s="26"/>
    </row>
    <row r="32" spans="2:17">
      <c r="M32" s="26"/>
      <c r="N32" s="26"/>
      <c r="O32" s="26"/>
      <c r="P32" s="26"/>
      <c r="Q32" s="26"/>
    </row>
    <row r="36" spans="1:11">
      <c r="B36" s="25" t="str">
        <f>"TJF未平倉量分布(依到期月份) -"&amp;MONTH(Data!$C$1)&amp;"/"&amp;DAY(Data!$C$1)</f>
        <v>TJF未平倉量分布(依到期月份) -1/0</v>
      </c>
      <c r="G36" s="25" t="str">
        <f>"I5F未平倉量分布(依到期月份) -"&amp;MONTH(Data!$C$1)&amp;"/"&amp;DAY(Data!$C$1)</f>
        <v>I5F未平倉量分布(依到期月份) -1/0</v>
      </c>
    </row>
    <row r="45" spans="1:11" ht="21" customHeight="1"/>
    <row r="46" spans="1:11" ht="19.899999999999999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</row>
    <row r="47" spans="1:11" ht="12.6" customHeight="1" thickBot="1">
      <c r="A47" s="15"/>
      <c r="B47" s="15"/>
      <c r="C47" s="15"/>
      <c r="D47" s="15"/>
      <c r="E47" s="15"/>
      <c r="F47" s="21"/>
      <c r="G47" s="15"/>
      <c r="H47" s="15"/>
      <c r="I47" s="15"/>
      <c r="J47" s="15"/>
      <c r="K47" s="15"/>
    </row>
    <row r="48" spans="1:11">
      <c r="F48" s="24">
        <v>1</v>
      </c>
    </row>
    <row r="50" spans="6:6">
      <c r="F50" s="22" t="s">
        <v>9</v>
      </c>
    </row>
    <row r="63" spans="6:6" ht="19.5">
      <c r="F63" s="23" t="s">
        <v>8</v>
      </c>
    </row>
    <row r="95" spans="1:11" ht="17.25" thickBo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>
      <c r="F96" s="24">
        <v>2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scale="97" orientation="portrait" r:id="rId1"/>
  <rowBreaks count="1" manualBreakCount="1">
    <brk id="47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Data</vt:lpstr>
      <vt:lpstr>走勢圖</vt:lpstr>
      <vt:lpstr>印表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tsai jason</cp:lastModifiedBy>
  <cp:lastPrinted>2016-12-27T03:55:22Z</cp:lastPrinted>
  <dcterms:created xsi:type="dcterms:W3CDTF">2015-07-28T01:40:14Z</dcterms:created>
  <dcterms:modified xsi:type="dcterms:W3CDTF">2019-04-03T06:58:41Z</dcterms:modified>
</cp:coreProperties>
</file>