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GitHub\RekindlePhoenixCI\PhoenixCI\Excel_Template\"/>
    </mc:Choice>
  </mc:AlternateContent>
  <bookViews>
    <workbookView xWindow="0" yWindow="0" windowWidth="28800" windowHeight="12840"/>
  </bookViews>
  <sheets>
    <sheet name="買權" sheetId="28" r:id="rId1"/>
    <sheet name="賣權 " sheetId="30" r:id="rId2"/>
  </sheets>
  <definedNames>
    <definedName name="_xlnm.Print_Area" localSheetId="0">買權!$A$1:$M$207</definedName>
    <definedName name="_xlnm.Print_Area" localSheetId="1">'賣權 '!$A$1:$M$207</definedName>
  </definedNames>
  <calcPr calcId="162913"/>
</workbook>
</file>

<file path=xl/calcChain.xml><?xml version="1.0" encoding="utf-8"?>
<calcChain xmlns="http://schemas.openxmlformats.org/spreadsheetml/2006/main">
  <c r="M5" i="28" l="1"/>
  <c r="M9" i="28"/>
  <c r="M14" i="30"/>
  <c r="M12" i="30"/>
  <c r="K7" i="30"/>
  <c r="J13" i="30"/>
  <c r="J10" i="30"/>
  <c r="K13" i="28"/>
  <c r="K2" i="28"/>
  <c r="J7" i="28"/>
  <c r="M11" i="28"/>
  <c r="M8" i="30"/>
  <c r="K9" i="30"/>
  <c r="J12" i="30"/>
  <c r="J12" i="28"/>
  <c r="M12" i="28"/>
  <c r="K13" i="30"/>
  <c r="J7" i="30"/>
  <c r="K6" i="28"/>
  <c r="J10" i="28"/>
  <c r="K14" i="30"/>
  <c r="M13" i="28"/>
  <c r="M10" i="28"/>
  <c r="M7" i="30"/>
  <c r="M2" i="30"/>
  <c r="K11" i="30"/>
  <c r="J6" i="30"/>
  <c r="J3" i="30"/>
  <c r="K8" i="28"/>
  <c r="J4" i="28"/>
  <c r="J9" i="28"/>
  <c r="M6" i="28"/>
  <c r="K5" i="30"/>
  <c r="J14" i="30"/>
  <c r="K3" i="28"/>
  <c r="J8" i="28"/>
  <c r="M14" i="28"/>
  <c r="M4" i="30"/>
  <c r="K10" i="30"/>
  <c r="J2" i="30"/>
  <c r="J14" i="28"/>
  <c r="K5" i="28"/>
  <c r="K10" i="28"/>
  <c r="M7" i="28"/>
  <c r="M2" i="28"/>
  <c r="M9" i="30"/>
  <c r="K8" i="30"/>
  <c r="K4" i="30"/>
  <c r="J4" i="30"/>
  <c r="K4" i="28"/>
  <c r="K14" i="28"/>
  <c r="J5" i="28"/>
  <c r="J11" i="28"/>
  <c r="M8" i="28"/>
  <c r="M5" i="30"/>
  <c r="M10" i="30"/>
  <c r="K3" i="30"/>
  <c r="K12" i="30"/>
  <c r="J8" i="30"/>
  <c r="K12" i="28"/>
  <c r="K7" i="28"/>
  <c r="J13" i="28"/>
  <c r="J2" i="28"/>
  <c r="J5" i="30"/>
  <c r="J3" i="28"/>
  <c r="M3" i="28"/>
  <c r="M13" i="30"/>
  <c r="M3" i="30"/>
  <c r="K6" i="30"/>
  <c r="K2" i="30"/>
  <c r="J11" i="30"/>
  <c r="K9" i="28"/>
  <c r="K11" i="28"/>
  <c r="J6" i="28"/>
  <c r="M4" i="28"/>
  <c r="M6" i="30"/>
  <c r="M11" i="30"/>
  <c r="J9" i="30"/>
</calcChain>
</file>

<file path=xl/sharedStrings.xml><?xml version="1.0" encoding="utf-8"?>
<sst xmlns="http://schemas.openxmlformats.org/spreadsheetml/2006/main" count="28" uniqueCount="15">
  <si>
    <t>契約</t>
    <phoneticPr fontId="1" type="noConversion"/>
  </si>
  <si>
    <t>到期日</t>
    <phoneticPr fontId="1" type="noConversion"/>
  </si>
  <si>
    <t>買/賣權</t>
    <phoneticPr fontId="1" type="noConversion"/>
  </si>
  <si>
    <t>日期</t>
    <phoneticPr fontId="1" type="noConversion"/>
  </si>
  <si>
    <t>波動度參數</t>
    <phoneticPr fontId="1" type="noConversion"/>
  </si>
  <si>
    <t>履約價</t>
    <phoneticPr fontId="1" type="noConversion"/>
  </si>
  <si>
    <t>無風險利率</t>
    <phoneticPr fontId="1" type="noConversion"/>
  </si>
  <si>
    <t>距離到期時間</t>
    <phoneticPr fontId="1" type="noConversion"/>
  </si>
  <si>
    <t>買/賣權</t>
    <phoneticPr fontId="1" type="noConversion"/>
  </si>
  <si>
    <t>當日退單點數</t>
    <phoneticPr fontId="1" type="noConversion"/>
  </si>
  <si>
    <r>
      <t>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</si>
  <si>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t>ATM1%VEGA(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</si>
  <si>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rPr>
        <sz val="16"/>
        <color rgb="FF333333"/>
        <rFont val="細明體"/>
        <family val="3"/>
        <charset val="136"/>
      </rPr>
      <t>註</t>
    </r>
    <r>
      <rPr>
        <sz val="16"/>
        <color rgb="FF333333"/>
        <rFont val="Verdana"/>
        <family val="2"/>
      </rPr>
      <t>1:</t>
    </r>
    <r>
      <rPr>
        <sz val="16"/>
        <color rgb="FF333333"/>
        <rFont val="細明體"/>
        <family val="3"/>
        <charset val="136"/>
      </rPr>
      <t>前一日盤收盤期貨基準價，倘為新加掛契約則為該到期月份期貨契約開盤參考價
註</t>
    </r>
    <r>
      <rPr>
        <sz val="16"/>
        <color rgb="FF333333"/>
        <rFont val="Verdana"/>
        <family val="2"/>
      </rPr>
      <t>2:</t>
    </r>
    <r>
      <rPr>
        <sz val="16"/>
        <color rgb="FF333333"/>
        <rFont val="細明體"/>
        <family val="3"/>
        <charset val="136"/>
      </rPr>
      <t>前日日盤最後一次計算之波動度參數，倘為新掛月份契約則為開盤差補之波動度參數</t>
    </r>
    <phoneticPr fontId="1" type="noConversion"/>
  </si>
  <si>
    <t>期貨開盤參考價</t>
    <phoneticPr fontId="1" type="noConversion"/>
  </si>
  <si>
    <t>Theta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</si>
</sst>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333333"/>
      <name val="Verdana"/>
      <family val="2"/>
    </font>
    <font>
      <sz val="14"/>
      <color rgb="FF333333"/>
      <name val="Verdana"/>
      <family val="2"/>
    </font>
    <font>
      <sz val="14"/>
      <color rgb="FF333333"/>
      <name val="細明體"/>
      <family val="3"/>
      <charset val="136"/>
    </font>
    <font>
      <sz val="16"/>
      <color rgb="FF333333"/>
      <name val="Verdana"/>
      <family val="2"/>
    </font>
    <font>
      <sz val="16"/>
      <color rgb="FF333333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left" vertical="center" wrapText="1"/>
    </xf>
    <xf numFmtId="14" fontId="5" fillId="2" borderId="3" xfId="0" applyNumberFormat="1" applyFont="1" applyFill="1" applyBorder="1" applyAlignment="1">
      <alignment horizontal="left" vertical="center" wrapText="1"/>
    </xf>
    <xf numFmtId="14" fontId="5" fillId="2" borderId="4" xfId="0" applyNumberFormat="1" applyFont="1" applyFill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207"/>
  <sheetViews>
    <sheetView tabSelected="1" view="pageBreakPreview" zoomScaleNormal="100" zoomScaleSheetLayoutView="100" workbookViewId="0">
      <selection activeCell="L2" sqref="L2:L14"/>
    </sheetView>
  </sheetViews>
  <sheetFormatPr defaultRowHeight="16.5" x14ac:dyDescent="0.25"/>
  <cols>
    <col min="1" max="1" width="13.25" bestFit="1" customWidth="1"/>
    <col min="3" max="3" width="18.125" customWidth="1"/>
    <col min="4" max="4" width="16.5" customWidth="1"/>
    <col min="5" max="5" width="9" customWidth="1"/>
    <col min="6" max="6" width="14" customWidth="1"/>
    <col min="7" max="7" width="19.75" customWidth="1"/>
    <col min="8" max="8" width="15.625" customWidth="1"/>
    <col min="9" max="9" width="13.125" customWidth="1"/>
    <col min="10" max="10" width="23.875" customWidth="1"/>
    <col min="11" max="12" width="26.625" style="1" customWidth="1"/>
    <col min="13" max="13" width="16.625" customWidth="1"/>
    <col min="24" max="24" width="9.5" bestFit="1" customWidth="1"/>
  </cols>
  <sheetData>
    <row r="1" spans="1:22" ht="39.75" thickBot="1" x14ac:dyDescent="0.3">
      <c r="A1" s="4" t="s">
        <v>3</v>
      </c>
      <c r="B1" s="4" t="s">
        <v>0</v>
      </c>
      <c r="C1" s="4" t="s">
        <v>1</v>
      </c>
      <c r="D1" s="5" t="s">
        <v>13</v>
      </c>
      <c r="E1" s="4" t="s">
        <v>5</v>
      </c>
      <c r="F1" s="4" t="s">
        <v>6</v>
      </c>
      <c r="G1" s="4" t="s">
        <v>7</v>
      </c>
      <c r="H1" s="4" t="s">
        <v>4</v>
      </c>
      <c r="I1" s="4" t="s">
        <v>8</v>
      </c>
      <c r="J1" s="4" t="s">
        <v>10</v>
      </c>
      <c r="K1" s="4" t="s">
        <v>11</v>
      </c>
      <c r="L1" s="4" t="s">
        <v>9</v>
      </c>
      <c r="M1" s="4" t="s">
        <v>14</v>
      </c>
      <c r="N1" s="7"/>
      <c r="O1" s="1"/>
      <c r="P1" s="8"/>
      <c r="Q1" s="1"/>
      <c r="R1" s="1"/>
      <c r="S1" s="1"/>
      <c r="T1" s="1"/>
      <c r="U1" s="1"/>
      <c r="V1" s="1"/>
    </row>
    <row r="2" spans="1:22" ht="18.75" thickBot="1" x14ac:dyDescent="0.3">
      <c r="A2" s="6"/>
      <c r="B2" s="4"/>
      <c r="C2" s="4"/>
      <c r="D2" s="4"/>
      <c r="E2" s="4"/>
      <c r="F2" s="4"/>
      <c r="G2" s="4"/>
      <c r="H2" s="4"/>
      <c r="I2" s="4"/>
      <c r="J2" s="4" t="e">
        <f ca="1">ROUND(BSCallVega(D2,E2,F2*100,H2*100,G2)/100,2)</f>
        <v>#NAME?</v>
      </c>
      <c r="K2" s="4" t="e">
        <f ca="1">ROUND(BSCallVega(E2,E2,F2*100,H2*100,G2)/100,2)</f>
        <v>#NAME?</v>
      </c>
      <c r="L2" s="4"/>
      <c r="M2" s="9" t="e">
        <f ca="1">ROUND(-BSCallTheta(D2,E2,F2*100,H2*100,G2)*G2,2)</f>
        <v>#NAME?</v>
      </c>
      <c r="N2" s="1"/>
      <c r="O2" s="1"/>
      <c r="P2" s="1"/>
      <c r="Q2" s="1"/>
      <c r="R2" s="1"/>
      <c r="S2" s="1"/>
      <c r="T2" s="1"/>
      <c r="U2" s="1"/>
      <c r="V2" s="1"/>
    </row>
    <row r="3" spans="1:22" ht="18.75" thickBot="1" x14ac:dyDescent="0.3">
      <c r="A3" s="6"/>
      <c r="B3" s="4"/>
      <c r="C3" s="4"/>
      <c r="D3" s="4"/>
      <c r="E3" s="4"/>
      <c r="F3" s="4"/>
      <c r="G3" s="4"/>
      <c r="H3" s="4"/>
      <c r="I3" s="4"/>
      <c r="J3" s="4" t="e">
        <f t="shared" ref="J3:J14" ca="1" si="0">ROUND(BSCallVega(D3,E3,F3*100,H3*100,G3)/100,2)</f>
        <v>#NAME?</v>
      </c>
      <c r="K3" s="4" t="e">
        <f t="shared" ref="K3:K14" ca="1" si="1">ROUND(BSCallVega(E3,E3,F3*100,H3*100,G3)/100,2)</f>
        <v>#NAME?</v>
      </c>
      <c r="L3" s="4"/>
      <c r="M3" s="9" t="e">
        <f t="shared" ref="M3:M14" ca="1" si="2">ROUND(-BSCallTheta(D3,E3,F3*100,H3*100,G3)*G3,2)</f>
        <v>#NAME?</v>
      </c>
      <c r="N3" s="1"/>
      <c r="O3" s="1"/>
      <c r="P3" s="1"/>
      <c r="Q3" s="1"/>
      <c r="R3" s="1"/>
      <c r="S3" s="1"/>
      <c r="T3" s="1"/>
      <c r="U3" s="1"/>
      <c r="V3" s="1"/>
    </row>
    <row r="4" spans="1:22" ht="18.75" thickBot="1" x14ac:dyDescent="0.3">
      <c r="A4" s="6"/>
      <c r="B4" s="4"/>
      <c r="C4" s="4"/>
      <c r="D4" s="4"/>
      <c r="E4" s="4"/>
      <c r="F4" s="4"/>
      <c r="G4" s="4"/>
      <c r="H4" s="4"/>
      <c r="I4" s="4"/>
      <c r="J4" s="4" t="e">
        <f t="shared" ca="1" si="0"/>
        <v>#NAME?</v>
      </c>
      <c r="K4" s="4" t="e">
        <f t="shared" ca="1" si="1"/>
        <v>#NAME?</v>
      </c>
      <c r="L4" s="4"/>
      <c r="M4" s="9" t="e">
        <f t="shared" ca="1" si="2"/>
        <v>#NAME?</v>
      </c>
      <c r="N4" s="1"/>
      <c r="O4" s="1"/>
      <c r="P4" s="1"/>
      <c r="Q4" s="1"/>
      <c r="R4" s="1"/>
    </row>
    <row r="5" spans="1:22" ht="18.75" thickBot="1" x14ac:dyDescent="0.3">
      <c r="A5" s="6"/>
      <c r="B5" s="4"/>
      <c r="C5" s="4"/>
      <c r="D5" s="4"/>
      <c r="E5" s="4"/>
      <c r="F5" s="4"/>
      <c r="G5" s="4"/>
      <c r="H5" s="4"/>
      <c r="I5" s="4"/>
      <c r="J5" s="4" t="e">
        <f t="shared" ca="1" si="0"/>
        <v>#NAME?</v>
      </c>
      <c r="K5" s="4" t="e">
        <f t="shared" ca="1" si="1"/>
        <v>#NAME?</v>
      </c>
      <c r="L5" s="4"/>
      <c r="M5" s="9" t="e">
        <f t="shared" ca="1" si="2"/>
        <v>#NAME?</v>
      </c>
      <c r="N5" s="1"/>
      <c r="O5" s="1"/>
      <c r="P5" s="1"/>
      <c r="Q5" s="1"/>
      <c r="R5" s="1"/>
    </row>
    <row r="6" spans="1:22" ht="18.75" thickBot="1" x14ac:dyDescent="0.3">
      <c r="A6" s="6"/>
      <c r="B6" s="4"/>
      <c r="C6" s="4"/>
      <c r="D6" s="4"/>
      <c r="E6" s="4"/>
      <c r="F6" s="4"/>
      <c r="G6" s="4"/>
      <c r="H6" s="4"/>
      <c r="I6" s="4"/>
      <c r="J6" s="4" t="e">
        <f t="shared" ca="1" si="0"/>
        <v>#NAME?</v>
      </c>
      <c r="K6" s="4" t="e">
        <f t="shared" ca="1" si="1"/>
        <v>#NAME?</v>
      </c>
      <c r="L6" s="4"/>
      <c r="M6" s="9" t="e">
        <f t="shared" ca="1" si="2"/>
        <v>#NAME?</v>
      </c>
      <c r="N6" s="1"/>
      <c r="O6" s="1"/>
      <c r="P6" s="1"/>
      <c r="Q6" s="1"/>
      <c r="R6" s="1"/>
    </row>
    <row r="7" spans="1:22" ht="18.75" thickBot="1" x14ac:dyDescent="0.3">
      <c r="A7" s="6"/>
      <c r="B7" s="4"/>
      <c r="C7" s="4"/>
      <c r="D7" s="4"/>
      <c r="E7" s="4"/>
      <c r="F7" s="4"/>
      <c r="G7" s="4"/>
      <c r="H7" s="4"/>
      <c r="I7" s="4"/>
      <c r="J7" s="4" t="e">
        <f t="shared" ca="1" si="0"/>
        <v>#NAME?</v>
      </c>
      <c r="K7" s="4" t="e">
        <f t="shared" ca="1" si="1"/>
        <v>#NAME?</v>
      </c>
      <c r="L7" s="4"/>
      <c r="M7" s="9" t="e">
        <f t="shared" ca="1" si="2"/>
        <v>#NAME?</v>
      </c>
      <c r="N7" s="1"/>
      <c r="O7" s="1"/>
      <c r="P7" s="1"/>
      <c r="Q7" s="1"/>
      <c r="R7" s="1"/>
    </row>
    <row r="8" spans="1:22" ht="18.75" thickBot="1" x14ac:dyDescent="0.3">
      <c r="A8" s="6"/>
      <c r="B8" s="4"/>
      <c r="C8" s="4"/>
      <c r="D8" s="4"/>
      <c r="E8" s="4"/>
      <c r="F8" s="4"/>
      <c r="G8" s="4"/>
      <c r="H8" s="4"/>
      <c r="I8" s="4"/>
      <c r="J8" s="4" t="e">
        <f t="shared" ca="1" si="0"/>
        <v>#NAME?</v>
      </c>
      <c r="K8" s="4" t="e">
        <f t="shared" ca="1" si="1"/>
        <v>#NAME?</v>
      </c>
      <c r="L8" s="4"/>
      <c r="M8" s="9" t="e">
        <f t="shared" ca="1" si="2"/>
        <v>#NAME?</v>
      </c>
      <c r="N8" s="1"/>
      <c r="O8" s="1"/>
      <c r="P8" s="1"/>
      <c r="Q8" s="1"/>
      <c r="R8" s="1"/>
    </row>
    <row r="9" spans="1:22" ht="18.75" thickBot="1" x14ac:dyDescent="0.3">
      <c r="A9" s="6"/>
      <c r="B9" s="4"/>
      <c r="C9" s="4"/>
      <c r="D9" s="4"/>
      <c r="E9" s="4"/>
      <c r="F9" s="4"/>
      <c r="G9" s="4"/>
      <c r="H9" s="4"/>
      <c r="I9" s="4"/>
      <c r="J9" s="4" t="e">
        <f t="shared" ca="1" si="0"/>
        <v>#NAME?</v>
      </c>
      <c r="K9" s="4" t="e">
        <f t="shared" ca="1" si="1"/>
        <v>#NAME?</v>
      </c>
      <c r="L9" s="4"/>
      <c r="M9" s="9" t="e">
        <f t="shared" ca="1" si="2"/>
        <v>#NAME?</v>
      </c>
      <c r="N9" s="1"/>
      <c r="O9" s="1"/>
      <c r="P9" s="1"/>
      <c r="Q9" s="1"/>
      <c r="R9" s="1"/>
    </row>
    <row r="10" spans="1:22" ht="18.75" thickBot="1" x14ac:dyDescent="0.3">
      <c r="A10" s="6"/>
      <c r="B10" s="4"/>
      <c r="C10" s="4"/>
      <c r="D10" s="4"/>
      <c r="E10" s="4"/>
      <c r="F10" s="4"/>
      <c r="G10" s="4"/>
      <c r="H10" s="4"/>
      <c r="I10" s="4"/>
      <c r="J10" s="4" t="e">
        <f t="shared" ca="1" si="0"/>
        <v>#NAME?</v>
      </c>
      <c r="K10" s="4" t="e">
        <f t="shared" ca="1" si="1"/>
        <v>#NAME?</v>
      </c>
      <c r="L10" s="4"/>
      <c r="M10" s="9" t="e">
        <f t="shared" ca="1" si="2"/>
        <v>#NAME?</v>
      </c>
      <c r="N10" s="1"/>
      <c r="O10" s="1"/>
      <c r="P10" s="1"/>
      <c r="Q10" s="1"/>
      <c r="R10" s="1"/>
    </row>
    <row r="11" spans="1:22" ht="18.75" thickBot="1" x14ac:dyDescent="0.3">
      <c r="A11" s="6"/>
      <c r="B11" s="4"/>
      <c r="C11" s="4"/>
      <c r="D11" s="4"/>
      <c r="E11" s="4"/>
      <c r="F11" s="4"/>
      <c r="G11" s="4"/>
      <c r="H11" s="4"/>
      <c r="I11" s="4"/>
      <c r="J11" s="4" t="e">
        <f t="shared" ca="1" si="0"/>
        <v>#NAME?</v>
      </c>
      <c r="K11" s="4" t="e">
        <f t="shared" ca="1" si="1"/>
        <v>#NAME?</v>
      </c>
      <c r="L11" s="4"/>
      <c r="M11" s="9" t="e">
        <f t="shared" ca="1" si="2"/>
        <v>#NAME?</v>
      </c>
      <c r="N11" s="1"/>
      <c r="O11" s="1"/>
      <c r="P11" s="1"/>
      <c r="Q11" s="1"/>
      <c r="R11" s="1"/>
    </row>
    <row r="12" spans="1:22" ht="18.75" thickBot="1" x14ac:dyDescent="0.3">
      <c r="A12" s="6"/>
      <c r="B12" s="4"/>
      <c r="C12" s="4"/>
      <c r="D12" s="4"/>
      <c r="E12" s="4"/>
      <c r="F12" s="4"/>
      <c r="G12" s="4"/>
      <c r="H12" s="4"/>
      <c r="I12" s="4"/>
      <c r="J12" s="4" t="e">
        <f t="shared" ca="1" si="0"/>
        <v>#NAME?</v>
      </c>
      <c r="K12" s="4" t="e">
        <f t="shared" ca="1" si="1"/>
        <v>#NAME?</v>
      </c>
      <c r="L12" s="4"/>
      <c r="M12" s="9" t="e">
        <f t="shared" ca="1" si="2"/>
        <v>#NAME?</v>
      </c>
      <c r="N12" s="1"/>
      <c r="O12" s="1"/>
      <c r="P12" s="1"/>
      <c r="Q12" s="1"/>
      <c r="R12" s="1"/>
    </row>
    <row r="13" spans="1:22" ht="18.75" thickBot="1" x14ac:dyDescent="0.3">
      <c r="A13" s="6"/>
      <c r="B13" s="4"/>
      <c r="C13" s="4"/>
      <c r="D13" s="4"/>
      <c r="E13" s="4"/>
      <c r="F13" s="4"/>
      <c r="G13" s="4"/>
      <c r="H13" s="4"/>
      <c r="I13" s="4"/>
      <c r="J13" s="4" t="e">
        <f t="shared" ca="1" si="0"/>
        <v>#NAME?</v>
      </c>
      <c r="K13" s="4" t="e">
        <f t="shared" ca="1" si="1"/>
        <v>#NAME?</v>
      </c>
      <c r="L13" s="4"/>
      <c r="M13" s="9" t="e">
        <f t="shared" ca="1" si="2"/>
        <v>#NAME?</v>
      </c>
      <c r="N13" s="1"/>
    </row>
    <row r="14" spans="1:22" ht="37.5" customHeight="1" thickBot="1" x14ac:dyDescent="0.3">
      <c r="A14" s="6"/>
      <c r="B14" s="4"/>
      <c r="C14" s="4"/>
      <c r="D14" s="4"/>
      <c r="E14" s="4"/>
      <c r="F14" s="4"/>
      <c r="G14" s="4"/>
      <c r="H14" s="4"/>
      <c r="I14" s="4"/>
      <c r="J14" s="4" t="e">
        <f t="shared" ca="1" si="0"/>
        <v>#NAME?</v>
      </c>
      <c r="K14" s="4" t="e">
        <f t="shared" ca="1" si="1"/>
        <v>#NAME?</v>
      </c>
      <c r="L14" s="4"/>
      <c r="M14" s="9" t="e">
        <f t="shared" ca="1" si="2"/>
        <v>#NAME?</v>
      </c>
      <c r="N14" s="1"/>
    </row>
    <row r="15" spans="1:22" ht="53.25" customHeight="1" thickBot="1" x14ac:dyDescent="0.3">
      <c r="A15" s="10" t="s">
        <v>12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2"/>
    </row>
    <row r="16" spans="1:22" ht="17.25" thickBot="1" x14ac:dyDescent="0.3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ht="17.25" thickBot="1" x14ac:dyDescent="0.3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ht="17.25" thickBot="1" x14ac:dyDescent="0.3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ht="17.25" thickBot="1" x14ac:dyDescent="0.3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ht="17.25" thickBot="1" x14ac:dyDescent="0.3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ht="17.25" thickBot="1" x14ac:dyDescent="0.3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ht="17.25" thickBot="1" x14ac:dyDescent="0.3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ht="17.25" thickBot="1" x14ac:dyDescent="0.3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ht="17.25" thickBot="1" x14ac:dyDescent="0.3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ht="17.25" thickBot="1" x14ac:dyDescent="0.3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ht="17.25" thickBot="1" x14ac:dyDescent="0.3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ht="17.25" thickBot="1" x14ac:dyDescent="0.3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ht="17.25" thickBot="1" x14ac:dyDescent="0.3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ht="17.25" thickBot="1" x14ac:dyDescent="0.3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ht="17.25" thickBot="1" x14ac:dyDescent="0.3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ht="17.25" thickBot="1" x14ac:dyDescent="0.3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ht="17.25" thickBot="1" x14ac:dyDescent="0.3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ht="17.25" thickBot="1" x14ac:dyDescent="0.3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ht="17.25" thickBot="1" x14ac:dyDescent="0.3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ht="17.25" thickBot="1" x14ac:dyDescent="0.3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ht="17.25" thickBot="1" x14ac:dyDescent="0.3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ht="17.25" thickBot="1" x14ac:dyDescent="0.3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ht="17.25" thickBot="1" x14ac:dyDescent="0.3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ht="17.25" thickBot="1" x14ac:dyDescent="0.3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ht="17.25" thickBot="1" x14ac:dyDescent="0.3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ht="17.25" thickBot="1" x14ac:dyDescent="0.3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ht="17.25" thickBot="1" x14ac:dyDescent="0.3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ht="17.25" thickBot="1" x14ac:dyDescent="0.3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ht="17.25" thickBot="1" x14ac:dyDescent="0.3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ht="17.25" thickBot="1" x14ac:dyDescent="0.3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ht="17.25" thickBot="1" x14ac:dyDescent="0.3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ht="17.25" thickBot="1" x14ac:dyDescent="0.3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ht="17.25" thickBot="1" x14ac:dyDescent="0.3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ht="17.25" thickBot="1" x14ac:dyDescent="0.3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ht="17.25" thickBot="1" x14ac:dyDescent="0.3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ht="17.25" thickBot="1" x14ac:dyDescent="0.3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ht="17.25" thickBot="1" x14ac:dyDescent="0.3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ht="17.25" thickBot="1" x14ac:dyDescent="0.3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ht="17.25" thickBot="1" x14ac:dyDescent="0.3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ht="17.25" thickBot="1" x14ac:dyDescent="0.3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ht="17.25" thickBot="1" x14ac:dyDescent="0.3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ht="17.25" thickBot="1" x14ac:dyDescent="0.3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ht="17.25" thickBot="1" x14ac:dyDescent="0.3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ht="17.25" thickBot="1" x14ac:dyDescent="0.3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ht="17.25" thickBot="1" x14ac:dyDescent="0.3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ht="17.25" thickBot="1" x14ac:dyDescent="0.3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ht="17.25" thickBot="1" x14ac:dyDescent="0.3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ht="17.25" thickBot="1" x14ac:dyDescent="0.3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ht="17.25" thickBot="1" x14ac:dyDescent="0.3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ht="17.25" thickBot="1" x14ac:dyDescent="0.3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ht="17.25" thickBot="1" x14ac:dyDescent="0.3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ht="17.25" thickBot="1" x14ac:dyDescent="0.3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ht="17.25" thickBot="1" x14ac:dyDescent="0.3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ht="17.25" thickBot="1" x14ac:dyDescent="0.3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ht="17.25" thickBot="1" x14ac:dyDescent="0.3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ht="17.25" thickBot="1" x14ac:dyDescent="0.3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ht="17.25" thickBot="1" x14ac:dyDescent="0.3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ht="17.25" thickBot="1" x14ac:dyDescent="0.3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ht="17.25" thickBot="1" x14ac:dyDescent="0.3">
      <c r="A74" s="3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ht="17.25" thickBot="1" x14ac:dyDescent="0.3">
      <c r="A75" s="3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ht="17.25" thickBot="1" x14ac:dyDescent="0.3">
      <c r="A76" s="3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ht="17.25" thickBot="1" x14ac:dyDescent="0.3">
      <c r="A77" s="3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ht="17.25" thickBot="1" x14ac:dyDescent="0.3">
      <c r="A78" s="3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ht="17.25" thickBot="1" x14ac:dyDescent="0.3">
      <c r="A79" s="3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ht="17.25" thickBot="1" x14ac:dyDescent="0.3">
      <c r="A80" s="3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ht="17.25" thickBot="1" x14ac:dyDescent="0.3">
      <c r="A81" s="3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ht="17.25" thickBot="1" x14ac:dyDescent="0.3">
      <c r="A82" s="3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ht="17.25" thickBot="1" x14ac:dyDescent="0.3">
      <c r="A83" s="3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ht="17.25" thickBot="1" x14ac:dyDescent="0.3">
      <c r="A84" s="3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ht="17.25" thickBot="1" x14ac:dyDescent="0.3">
      <c r="A85" s="3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ht="17.25" thickBot="1" x14ac:dyDescent="0.3">
      <c r="A86" s="3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ht="17.25" thickBot="1" x14ac:dyDescent="0.3">
      <c r="A87" s="3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ht="17.25" thickBot="1" x14ac:dyDescent="0.3">
      <c r="A88" s="3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ht="17.25" thickBot="1" x14ac:dyDescent="0.3">
      <c r="A89" s="3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ht="17.25" thickBot="1" x14ac:dyDescent="0.3">
      <c r="A90" s="3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ht="17.25" thickBot="1" x14ac:dyDescent="0.3">
      <c r="A91" s="3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ht="17.25" thickBot="1" x14ac:dyDescent="0.3">
      <c r="A92" s="3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ht="17.25" thickBot="1" x14ac:dyDescent="0.3">
      <c r="A93" s="3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ht="17.25" thickBot="1" x14ac:dyDescent="0.3">
      <c r="A94" s="3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ht="17.25" thickBot="1" x14ac:dyDescent="0.3">
      <c r="A95" s="3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ht="17.25" thickBot="1" x14ac:dyDescent="0.3">
      <c r="A96" s="3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ht="17.25" thickBot="1" x14ac:dyDescent="0.3">
      <c r="A97" s="3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ht="17.25" thickBot="1" x14ac:dyDescent="0.3">
      <c r="A98" s="3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ht="17.25" thickBot="1" x14ac:dyDescent="0.3">
      <c r="A99" s="3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ht="17.25" thickBot="1" x14ac:dyDescent="0.3">
      <c r="A100" s="3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t="17.25" thickBot="1" x14ac:dyDescent="0.3">
      <c r="A101" s="3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t="17.25" thickBot="1" x14ac:dyDescent="0.3">
      <c r="A102" s="3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t="17.25" thickBot="1" x14ac:dyDescent="0.3">
      <c r="A103" s="3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t="17.25" thickBot="1" x14ac:dyDescent="0.3">
      <c r="A104" s="3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t="17.25" thickBot="1" x14ac:dyDescent="0.3">
      <c r="A105" s="3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t="17.25" thickBot="1" x14ac:dyDescent="0.3">
      <c r="A106" s="3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t="17.25" thickBot="1" x14ac:dyDescent="0.3">
      <c r="A107" s="3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t="17.25" thickBot="1" x14ac:dyDescent="0.3">
      <c r="A108" s="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t="17.25" thickBot="1" x14ac:dyDescent="0.3">
      <c r="A109" s="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t="17.25" thickBot="1" x14ac:dyDescent="0.3">
      <c r="A110" s="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t="17.25" thickBot="1" x14ac:dyDescent="0.3">
      <c r="A111" s="3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t="17.25" thickBot="1" x14ac:dyDescent="0.3">
      <c r="A112" s="3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t="17.25" thickBot="1" x14ac:dyDescent="0.3">
      <c r="A113" s="3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t="17.25" thickBot="1" x14ac:dyDescent="0.3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t="17.25" thickBot="1" x14ac:dyDescent="0.3">
      <c r="A115" s="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t="17.25" thickBot="1" x14ac:dyDescent="0.3">
      <c r="A116" s="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t="17.25" thickBot="1" x14ac:dyDescent="0.3">
      <c r="A117" s="3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t="17.25" thickBot="1" x14ac:dyDescent="0.3">
      <c r="A118" s="3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t="17.25" thickBot="1" x14ac:dyDescent="0.3">
      <c r="A119" s="3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t="17.25" thickBot="1" x14ac:dyDescent="0.3">
      <c r="A120" s="3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t="17.25" thickBot="1" x14ac:dyDescent="0.3">
      <c r="A121" s="3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t="17.25" thickBot="1" x14ac:dyDescent="0.3">
      <c r="A122" s="3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t="17.25" thickBot="1" x14ac:dyDescent="0.3">
      <c r="A123" s="3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t="17.25" thickBot="1" x14ac:dyDescent="0.3">
      <c r="A124" s="3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t="17.25" thickBot="1" x14ac:dyDescent="0.3">
      <c r="A125" s="3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t="17.25" thickBot="1" x14ac:dyDescent="0.3">
      <c r="A126" s="3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t="17.25" thickBot="1" x14ac:dyDescent="0.3">
      <c r="A127" s="3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t="17.25" thickBot="1" x14ac:dyDescent="0.3">
      <c r="A128" s="3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t="17.25" thickBot="1" x14ac:dyDescent="0.3">
      <c r="A129" s="3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t="17.25" thickBot="1" x14ac:dyDescent="0.3">
      <c r="A130" s="3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t="17.25" thickBot="1" x14ac:dyDescent="0.3">
      <c r="A131" s="3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t="17.25" thickBot="1" x14ac:dyDescent="0.3">
      <c r="A132" s="3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t="17.25" thickBot="1" x14ac:dyDescent="0.3">
      <c r="A133" s="3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t="17.25" thickBot="1" x14ac:dyDescent="0.3">
      <c r="A134" s="3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t="17.25" thickBot="1" x14ac:dyDescent="0.3">
      <c r="A135" s="3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t="17.25" thickBot="1" x14ac:dyDescent="0.3">
      <c r="A136" s="3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t="17.25" thickBot="1" x14ac:dyDescent="0.3">
      <c r="A137" s="3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t="17.25" thickBot="1" x14ac:dyDescent="0.3">
      <c r="A138" s="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t="17.25" thickBot="1" x14ac:dyDescent="0.3">
      <c r="A139" s="3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t="17.25" thickBot="1" x14ac:dyDescent="0.3">
      <c r="A140" s="3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t="17.25" thickBot="1" x14ac:dyDescent="0.3">
      <c r="A141" s="3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t="17.25" thickBot="1" x14ac:dyDescent="0.3">
      <c r="A142" s="3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t="17.25" thickBot="1" x14ac:dyDescent="0.3">
      <c r="A143" s="3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t="17.25" thickBot="1" x14ac:dyDescent="0.3">
      <c r="A144" s="3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t="17.25" thickBot="1" x14ac:dyDescent="0.3">
      <c r="A145" s="3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t="17.25" thickBot="1" x14ac:dyDescent="0.3">
      <c r="A146" s="3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t="17.25" thickBot="1" x14ac:dyDescent="0.3">
      <c r="A147" s="3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t="17.25" thickBot="1" x14ac:dyDescent="0.3">
      <c r="A148" s="3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t="17.25" thickBot="1" x14ac:dyDescent="0.3">
      <c r="A149" s="3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t="17.25" thickBot="1" x14ac:dyDescent="0.3">
      <c r="A150" s="3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t="17.25" thickBot="1" x14ac:dyDescent="0.3">
      <c r="A151" s="3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t="17.25" thickBot="1" x14ac:dyDescent="0.3">
      <c r="A152" s="3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t="17.25" thickBot="1" x14ac:dyDescent="0.3">
      <c r="A153" s="3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t="17.25" thickBot="1" x14ac:dyDescent="0.3">
      <c r="A154" s="3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t="17.25" thickBot="1" x14ac:dyDescent="0.3">
      <c r="A155" s="3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t="17.25" thickBot="1" x14ac:dyDescent="0.3">
      <c r="A156" s="3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t="17.25" thickBot="1" x14ac:dyDescent="0.3">
      <c r="A157" s="3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t="17.25" thickBot="1" x14ac:dyDescent="0.3">
      <c r="A158" s="3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t="17.25" thickBot="1" x14ac:dyDescent="0.3">
      <c r="A159" s="3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t="17.25" thickBot="1" x14ac:dyDescent="0.3">
      <c r="A160" s="3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t="17.25" thickBot="1" x14ac:dyDescent="0.3">
      <c r="A161" s="3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t="17.25" thickBot="1" x14ac:dyDescent="0.3">
      <c r="A162" s="3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t="17.25" thickBot="1" x14ac:dyDescent="0.3">
      <c r="A163" s="3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t="17.25" thickBot="1" x14ac:dyDescent="0.3">
      <c r="A164" s="3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t="17.25" thickBot="1" x14ac:dyDescent="0.3">
      <c r="A165" s="3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t="17.25" thickBot="1" x14ac:dyDescent="0.3">
      <c r="A166" s="3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t="17.25" thickBot="1" x14ac:dyDescent="0.3">
      <c r="A167" s="3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t="17.25" thickBot="1" x14ac:dyDescent="0.3">
      <c r="A168" s="3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t="17.25" thickBot="1" x14ac:dyDescent="0.3">
      <c r="A169" s="3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t="17.25" thickBot="1" x14ac:dyDescent="0.3">
      <c r="A170" s="3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t="17.25" thickBot="1" x14ac:dyDescent="0.3">
      <c r="A171" s="3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t="17.25" thickBot="1" x14ac:dyDescent="0.3">
      <c r="A172" s="3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t="17.25" thickBot="1" x14ac:dyDescent="0.3">
      <c r="A173" s="3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t="17.25" thickBot="1" x14ac:dyDescent="0.3">
      <c r="A174" s="3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t="17.25" thickBot="1" x14ac:dyDescent="0.3">
      <c r="A175" s="3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t="17.25" thickBot="1" x14ac:dyDescent="0.3">
      <c r="A176" s="3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t="17.25" thickBot="1" x14ac:dyDescent="0.3">
      <c r="A177" s="3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t="17.25" thickBot="1" x14ac:dyDescent="0.3">
      <c r="A178" s="3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t="17.25" thickBot="1" x14ac:dyDescent="0.3">
      <c r="A179" s="3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t="17.25" thickBot="1" x14ac:dyDescent="0.3">
      <c r="A180" s="3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t="17.25" thickBot="1" x14ac:dyDescent="0.3">
      <c r="A181" s="3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t="17.25" thickBot="1" x14ac:dyDescent="0.3">
      <c r="A182" s="3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t="17.25" thickBot="1" x14ac:dyDescent="0.3">
      <c r="A183" s="3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t="17.25" thickBot="1" x14ac:dyDescent="0.3">
      <c r="A184" s="3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t="17.25" thickBot="1" x14ac:dyDescent="0.3">
      <c r="A185" s="3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t="17.25" thickBot="1" x14ac:dyDescent="0.3">
      <c r="A186" s="3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t="17.25" thickBot="1" x14ac:dyDescent="0.3">
      <c r="A187" s="3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t="17.25" thickBot="1" x14ac:dyDescent="0.3">
      <c r="A188" s="3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t="17.25" thickBot="1" x14ac:dyDescent="0.3">
      <c r="A189" s="3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t="17.25" thickBot="1" x14ac:dyDescent="0.3">
      <c r="A190" s="3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t="17.25" thickBot="1" x14ac:dyDescent="0.3">
      <c r="A191" s="3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t="17.25" thickBot="1" x14ac:dyDescent="0.3">
      <c r="A192" s="3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t="17.25" thickBot="1" x14ac:dyDescent="0.3">
      <c r="A193" s="3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t="17.25" thickBot="1" x14ac:dyDescent="0.3">
      <c r="A194" s="3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t="17.25" thickBot="1" x14ac:dyDescent="0.3">
      <c r="A195" s="3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t="17.25" thickBot="1" x14ac:dyDescent="0.3">
      <c r="A196" s="3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t="17.25" thickBot="1" x14ac:dyDescent="0.3">
      <c r="A197" s="3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t="17.25" thickBot="1" x14ac:dyDescent="0.3">
      <c r="A198" s="3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t="17.25" thickBot="1" x14ac:dyDescent="0.3">
      <c r="A199" s="3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t="17.25" thickBot="1" x14ac:dyDescent="0.3">
      <c r="A200" s="3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t="17.25" thickBot="1" x14ac:dyDescent="0.3">
      <c r="A201" s="3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t="17.25" thickBot="1" x14ac:dyDescent="0.3">
      <c r="A202" s="3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t="17.25" thickBot="1" x14ac:dyDescent="0.3">
      <c r="A203" s="3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t="17.25" thickBot="1" x14ac:dyDescent="0.3">
      <c r="A204" s="3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t="17.25" thickBot="1" x14ac:dyDescent="0.3">
      <c r="A205" s="3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t="17.25" thickBot="1" x14ac:dyDescent="0.3">
      <c r="A206" s="3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t="17.25" thickBot="1" x14ac:dyDescent="0.3">
      <c r="A207" s="3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</sheetData>
  <mergeCells count="1">
    <mergeCell ref="A15:M15"/>
  </mergeCells>
  <phoneticPr fontId="1" type="noConversion"/>
  <pageMargins left="0.7" right="0.7" top="0.75" bottom="0.75" header="0.3" footer="0.3"/>
  <pageSetup paperSize="9" scale="46" orientation="landscape" r:id="rId1"/>
  <rowBreaks count="1" manualBreakCount="1">
    <brk id="1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207"/>
  <sheetViews>
    <sheetView view="pageBreakPreview" zoomScaleNormal="100" zoomScaleSheetLayoutView="100" workbookViewId="0">
      <selection activeCell="L2" sqref="L2:L14"/>
    </sheetView>
  </sheetViews>
  <sheetFormatPr defaultRowHeight="16.5" x14ac:dyDescent="0.25"/>
  <cols>
    <col min="1" max="1" width="13.25" style="1" bestFit="1" customWidth="1"/>
    <col min="2" max="2" width="9" style="1"/>
    <col min="3" max="3" width="18.125" style="1" customWidth="1"/>
    <col min="4" max="4" width="16.5" style="1" customWidth="1"/>
    <col min="5" max="5" width="9" style="1" customWidth="1"/>
    <col min="6" max="6" width="14" style="1" customWidth="1"/>
    <col min="7" max="7" width="19.75" style="1" customWidth="1"/>
    <col min="8" max="8" width="15.625" style="1" customWidth="1"/>
    <col min="9" max="9" width="13.125" style="1" customWidth="1"/>
    <col min="10" max="10" width="23.875" style="1" customWidth="1"/>
    <col min="11" max="12" width="26.625" style="1" customWidth="1"/>
    <col min="13" max="13" width="16.625" style="1" customWidth="1"/>
    <col min="14" max="23" width="9" style="1"/>
    <col min="24" max="24" width="9.5" style="1" bestFit="1" customWidth="1"/>
    <col min="25" max="16384" width="9" style="1"/>
  </cols>
  <sheetData>
    <row r="1" spans="1:16" ht="39.75" thickBot="1" x14ac:dyDescent="0.3">
      <c r="A1" s="4" t="s">
        <v>3</v>
      </c>
      <c r="B1" s="4" t="s">
        <v>0</v>
      </c>
      <c r="C1" s="4" t="s">
        <v>1</v>
      </c>
      <c r="D1" s="5" t="s">
        <v>13</v>
      </c>
      <c r="E1" s="4" t="s">
        <v>5</v>
      </c>
      <c r="F1" s="4" t="s">
        <v>6</v>
      </c>
      <c r="G1" s="4" t="s">
        <v>7</v>
      </c>
      <c r="H1" s="4" t="s">
        <v>4</v>
      </c>
      <c r="I1" s="4" t="s">
        <v>2</v>
      </c>
      <c r="J1" s="4" t="s">
        <v>10</v>
      </c>
      <c r="K1" s="4" t="s">
        <v>11</v>
      </c>
      <c r="L1" s="4" t="s">
        <v>9</v>
      </c>
      <c r="M1" s="4" t="s">
        <v>14</v>
      </c>
      <c r="N1" s="7"/>
      <c r="P1" s="8"/>
    </row>
    <row r="2" spans="1:16" ht="20.25" thickBot="1" x14ac:dyDescent="0.3">
      <c r="A2" s="6"/>
      <c r="B2" s="4"/>
      <c r="C2" s="4"/>
      <c r="D2" s="4"/>
      <c r="E2" s="4"/>
      <c r="F2" s="4"/>
      <c r="G2" s="4"/>
      <c r="H2" s="4"/>
      <c r="I2" s="5"/>
      <c r="J2" s="4" t="e">
        <f ca="1">ROUND(BSPutVega(D2,E2,F2*100,H2*100,G2)/100,2)</f>
        <v>#NAME?</v>
      </c>
      <c r="K2" s="4" t="e">
        <f ca="1">ROUND(BSPutVega(E2,E2,F2*100,H2*100,G2)/100,2)</f>
        <v>#NAME?</v>
      </c>
      <c r="L2" s="4"/>
      <c r="M2" s="9" t="e">
        <f ca="1">ROUND(-BSputTheta(D2,E2,F2*100,H2*100,G2)*G2,2)</f>
        <v>#NAME?</v>
      </c>
    </row>
    <row r="3" spans="1:16" ht="20.25" thickBot="1" x14ac:dyDescent="0.3">
      <c r="A3" s="6"/>
      <c r="B3" s="4"/>
      <c r="C3" s="4"/>
      <c r="D3" s="4"/>
      <c r="E3" s="4"/>
      <c r="F3" s="4"/>
      <c r="G3" s="4"/>
      <c r="H3" s="4"/>
      <c r="I3" s="5"/>
      <c r="J3" s="4" t="e">
        <f t="shared" ref="J3:J14" ca="1" si="0">ROUND(BSPutVega(D3,E3,F3*100,H3*100,G3)/100,2)</f>
        <v>#NAME?</v>
      </c>
      <c r="K3" s="4" t="e">
        <f t="shared" ref="K3:K14" ca="1" si="1">ROUND(BSPutVega(E3,E3,F3*100,H3*100,G3)/100,2)</f>
        <v>#NAME?</v>
      </c>
      <c r="L3" s="4"/>
      <c r="M3" s="9" t="e">
        <f t="shared" ref="M3:M14" ca="1" si="2">ROUND(-BSputTheta(D3,E3,F3*100,H3*100,G3)*G3,2)</f>
        <v>#NAME?</v>
      </c>
    </row>
    <row r="4" spans="1:16" ht="20.25" thickBot="1" x14ac:dyDescent="0.3">
      <c r="A4" s="6"/>
      <c r="B4" s="4"/>
      <c r="C4" s="4"/>
      <c r="D4" s="4"/>
      <c r="E4" s="4"/>
      <c r="F4" s="4"/>
      <c r="G4" s="4"/>
      <c r="H4" s="4"/>
      <c r="I4" s="5"/>
      <c r="J4" s="4" t="e">
        <f t="shared" ca="1" si="0"/>
        <v>#NAME?</v>
      </c>
      <c r="K4" s="4" t="e">
        <f t="shared" ca="1" si="1"/>
        <v>#NAME?</v>
      </c>
      <c r="L4" s="4"/>
      <c r="M4" s="9" t="e">
        <f t="shared" ca="1" si="2"/>
        <v>#NAME?</v>
      </c>
    </row>
    <row r="5" spans="1:16" ht="20.25" thickBot="1" x14ac:dyDescent="0.3">
      <c r="A5" s="6"/>
      <c r="B5" s="4"/>
      <c r="C5" s="4"/>
      <c r="D5" s="4"/>
      <c r="E5" s="4"/>
      <c r="F5" s="4"/>
      <c r="G5" s="4"/>
      <c r="H5" s="4"/>
      <c r="I5" s="5"/>
      <c r="J5" s="4" t="e">
        <f t="shared" ca="1" si="0"/>
        <v>#NAME?</v>
      </c>
      <c r="K5" s="4" t="e">
        <f t="shared" ca="1" si="1"/>
        <v>#NAME?</v>
      </c>
      <c r="L5" s="4"/>
      <c r="M5" s="9" t="e">
        <f t="shared" ca="1" si="2"/>
        <v>#NAME?</v>
      </c>
    </row>
    <row r="6" spans="1:16" ht="20.25" thickBot="1" x14ac:dyDescent="0.3">
      <c r="A6" s="6"/>
      <c r="B6" s="4"/>
      <c r="C6" s="4"/>
      <c r="D6" s="4"/>
      <c r="E6" s="4"/>
      <c r="F6" s="4"/>
      <c r="G6" s="4"/>
      <c r="H6" s="4"/>
      <c r="I6" s="5"/>
      <c r="J6" s="4" t="e">
        <f t="shared" ca="1" si="0"/>
        <v>#NAME?</v>
      </c>
      <c r="K6" s="4" t="e">
        <f t="shared" ca="1" si="1"/>
        <v>#NAME?</v>
      </c>
      <c r="L6" s="4"/>
      <c r="M6" s="9" t="e">
        <f t="shared" ca="1" si="2"/>
        <v>#NAME?</v>
      </c>
    </row>
    <row r="7" spans="1:16" ht="20.25" thickBot="1" x14ac:dyDescent="0.3">
      <c r="A7" s="6"/>
      <c r="B7" s="4"/>
      <c r="C7" s="4"/>
      <c r="D7" s="4"/>
      <c r="E7" s="4"/>
      <c r="F7" s="4"/>
      <c r="G7" s="4"/>
      <c r="H7" s="4"/>
      <c r="I7" s="5"/>
      <c r="J7" s="4" t="e">
        <f t="shared" ca="1" si="0"/>
        <v>#NAME?</v>
      </c>
      <c r="K7" s="4" t="e">
        <f t="shared" ca="1" si="1"/>
        <v>#NAME?</v>
      </c>
      <c r="L7" s="4"/>
      <c r="M7" s="9" t="e">
        <f t="shared" ca="1" si="2"/>
        <v>#NAME?</v>
      </c>
    </row>
    <row r="8" spans="1:16" ht="20.25" thickBot="1" x14ac:dyDescent="0.3">
      <c r="A8" s="6"/>
      <c r="B8" s="4"/>
      <c r="C8" s="4"/>
      <c r="D8" s="4"/>
      <c r="E8" s="4"/>
      <c r="F8" s="4"/>
      <c r="G8" s="4"/>
      <c r="H8" s="4"/>
      <c r="I8" s="5"/>
      <c r="J8" s="4" t="e">
        <f t="shared" ca="1" si="0"/>
        <v>#NAME?</v>
      </c>
      <c r="K8" s="4" t="e">
        <f t="shared" ca="1" si="1"/>
        <v>#NAME?</v>
      </c>
      <c r="L8" s="4"/>
      <c r="M8" s="9" t="e">
        <f t="shared" ca="1" si="2"/>
        <v>#NAME?</v>
      </c>
    </row>
    <row r="9" spans="1:16" ht="20.25" thickBot="1" x14ac:dyDescent="0.3">
      <c r="A9" s="6"/>
      <c r="B9" s="4"/>
      <c r="C9" s="4"/>
      <c r="D9" s="4"/>
      <c r="E9" s="4"/>
      <c r="F9" s="4"/>
      <c r="G9" s="4"/>
      <c r="H9" s="4"/>
      <c r="I9" s="5"/>
      <c r="J9" s="4" t="e">
        <f t="shared" ca="1" si="0"/>
        <v>#NAME?</v>
      </c>
      <c r="K9" s="4" t="e">
        <f t="shared" ca="1" si="1"/>
        <v>#NAME?</v>
      </c>
      <c r="L9" s="4"/>
      <c r="M9" s="9" t="e">
        <f t="shared" ca="1" si="2"/>
        <v>#NAME?</v>
      </c>
    </row>
    <row r="10" spans="1:16" ht="20.25" thickBot="1" x14ac:dyDescent="0.3">
      <c r="A10" s="6"/>
      <c r="B10" s="4"/>
      <c r="C10" s="4"/>
      <c r="D10" s="4"/>
      <c r="E10" s="4"/>
      <c r="F10" s="4"/>
      <c r="G10" s="4"/>
      <c r="H10" s="4"/>
      <c r="I10" s="5"/>
      <c r="J10" s="4" t="e">
        <f t="shared" ca="1" si="0"/>
        <v>#NAME?</v>
      </c>
      <c r="K10" s="4" t="e">
        <f t="shared" ca="1" si="1"/>
        <v>#NAME?</v>
      </c>
      <c r="L10" s="4"/>
      <c r="M10" s="9" t="e">
        <f t="shared" ca="1" si="2"/>
        <v>#NAME?</v>
      </c>
    </row>
    <row r="11" spans="1:16" ht="20.25" thickBot="1" x14ac:dyDescent="0.3">
      <c r="A11" s="6"/>
      <c r="B11" s="4"/>
      <c r="C11" s="4"/>
      <c r="D11" s="4"/>
      <c r="E11" s="4"/>
      <c r="F11" s="4"/>
      <c r="G11" s="4"/>
      <c r="H11" s="4"/>
      <c r="I11" s="5"/>
      <c r="J11" s="4" t="e">
        <f t="shared" ca="1" si="0"/>
        <v>#NAME?</v>
      </c>
      <c r="K11" s="4" t="e">
        <f t="shared" ca="1" si="1"/>
        <v>#NAME?</v>
      </c>
      <c r="L11" s="4"/>
      <c r="M11" s="9" t="e">
        <f t="shared" ca="1" si="2"/>
        <v>#NAME?</v>
      </c>
    </row>
    <row r="12" spans="1:16" ht="20.25" thickBot="1" x14ac:dyDescent="0.3">
      <c r="A12" s="6"/>
      <c r="B12" s="4"/>
      <c r="C12" s="4"/>
      <c r="D12" s="4"/>
      <c r="E12" s="4"/>
      <c r="F12" s="4"/>
      <c r="G12" s="4"/>
      <c r="H12" s="4"/>
      <c r="I12" s="5"/>
      <c r="J12" s="4" t="e">
        <f t="shared" ca="1" si="0"/>
        <v>#NAME?</v>
      </c>
      <c r="K12" s="4" t="e">
        <f t="shared" ca="1" si="1"/>
        <v>#NAME?</v>
      </c>
      <c r="L12" s="4"/>
      <c r="M12" s="9" t="e">
        <f t="shared" ca="1" si="2"/>
        <v>#NAME?</v>
      </c>
    </row>
    <row r="13" spans="1:16" ht="20.25" thickBot="1" x14ac:dyDescent="0.3">
      <c r="A13" s="6"/>
      <c r="B13" s="4"/>
      <c r="C13" s="4"/>
      <c r="D13" s="4"/>
      <c r="E13" s="4"/>
      <c r="F13" s="4"/>
      <c r="G13" s="4"/>
      <c r="H13" s="4"/>
      <c r="I13" s="5"/>
      <c r="J13" s="4" t="e">
        <f t="shared" ca="1" si="0"/>
        <v>#NAME?</v>
      </c>
      <c r="K13" s="4" t="e">
        <f t="shared" ca="1" si="1"/>
        <v>#NAME?</v>
      </c>
      <c r="L13" s="4"/>
      <c r="M13" s="9" t="e">
        <f t="shared" ca="1" si="2"/>
        <v>#NAME?</v>
      </c>
    </row>
    <row r="14" spans="1:16" ht="37.5" customHeight="1" thickBot="1" x14ac:dyDescent="0.3">
      <c r="A14" s="6"/>
      <c r="B14" s="4"/>
      <c r="C14" s="4"/>
      <c r="D14" s="4"/>
      <c r="E14" s="4"/>
      <c r="F14" s="4"/>
      <c r="G14" s="4"/>
      <c r="H14" s="4"/>
      <c r="I14" s="5"/>
      <c r="J14" s="4" t="e">
        <f t="shared" ca="1" si="0"/>
        <v>#NAME?</v>
      </c>
      <c r="K14" s="4" t="e">
        <f t="shared" ca="1" si="1"/>
        <v>#NAME?</v>
      </c>
      <c r="L14" s="4"/>
      <c r="M14" s="9" t="e">
        <f t="shared" ca="1" si="2"/>
        <v>#NAME?</v>
      </c>
    </row>
    <row r="15" spans="1:16" ht="53.25" customHeight="1" thickBot="1" x14ac:dyDescent="0.3">
      <c r="A15" s="10" t="s">
        <v>12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2"/>
    </row>
    <row r="16" spans="1:16" ht="17.25" thickBot="1" x14ac:dyDescent="0.3">
      <c r="A16" s="3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ht="17.25" thickBot="1" x14ac:dyDescent="0.3">
      <c r="A17" s="3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ht="17.25" thickBot="1" x14ac:dyDescent="0.3">
      <c r="A18" s="3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ht="17.25" thickBot="1" x14ac:dyDescent="0.3">
      <c r="A19" s="3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ht="17.25" thickBot="1" x14ac:dyDescent="0.3">
      <c r="A20" s="3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ht="17.25" thickBot="1" x14ac:dyDescent="0.3">
      <c r="A21" s="3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ht="17.25" thickBot="1" x14ac:dyDescent="0.3">
      <c r="A22" s="3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ht="17.25" thickBot="1" x14ac:dyDescent="0.3">
      <c r="A23" s="3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ht="17.25" thickBot="1" x14ac:dyDescent="0.3">
      <c r="A24" s="3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ht="17.25" thickBot="1" x14ac:dyDescent="0.3">
      <c r="A25" s="3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ht="17.25" thickBot="1" x14ac:dyDescent="0.3">
      <c r="A26" s="3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ht="17.25" thickBot="1" x14ac:dyDescent="0.3">
      <c r="A27" s="3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ht="17.25" thickBot="1" x14ac:dyDescent="0.3">
      <c r="A28" s="3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ht="17.25" thickBot="1" x14ac:dyDescent="0.3">
      <c r="A29" s="3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ht="17.25" thickBot="1" x14ac:dyDescent="0.3">
      <c r="A30" s="3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ht="17.25" thickBot="1" x14ac:dyDescent="0.3">
      <c r="A31" s="3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ht="17.25" thickBot="1" x14ac:dyDescent="0.3">
      <c r="A32" s="3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ht="17.25" thickBot="1" x14ac:dyDescent="0.3">
      <c r="A33" s="3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ht="17.25" thickBot="1" x14ac:dyDescent="0.3">
      <c r="A34" s="3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ht="17.25" thickBot="1" x14ac:dyDescent="0.3">
      <c r="A35" s="3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ht="17.25" thickBot="1" x14ac:dyDescent="0.3">
      <c r="A36" s="3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ht="17.25" thickBot="1" x14ac:dyDescent="0.3">
      <c r="A37" s="3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ht="17.25" thickBot="1" x14ac:dyDescent="0.3">
      <c r="A38" s="3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ht="17.25" thickBot="1" x14ac:dyDescent="0.3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ht="17.25" thickBot="1" x14ac:dyDescent="0.3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ht="17.25" thickBot="1" x14ac:dyDescent="0.3">
      <c r="A41" s="3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ht="17.25" thickBot="1" x14ac:dyDescent="0.3">
      <c r="A42" s="3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ht="17.25" thickBot="1" x14ac:dyDescent="0.3">
      <c r="A43" s="3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ht="17.25" thickBot="1" x14ac:dyDescent="0.3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ht="17.25" thickBot="1" x14ac:dyDescent="0.3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ht="17.25" thickBot="1" x14ac:dyDescent="0.3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ht="17.25" thickBot="1" x14ac:dyDescent="0.3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ht="17.25" thickBot="1" x14ac:dyDescent="0.3">
      <c r="A48" s="3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ht="17.25" thickBot="1" x14ac:dyDescent="0.3">
      <c r="A49" s="3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ht="17.25" thickBot="1" x14ac:dyDescent="0.3">
      <c r="A50" s="3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ht="17.25" thickBot="1" x14ac:dyDescent="0.3">
      <c r="A51" s="3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ht="17.25" thickBot="1" x14ac:dyDescent="0.3">
      <c r="A52" s="3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ht="17.25" thickBot="1" x14ac:dyDescent="0.3">
      <c r="A53" s="3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ht="17.25" thickBot="1" x14ac:dyDescent="0.3">
      <c r="A54" s="3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ht="17.25" thickBot="1" x14ac:dyDescent="0.3">
      <c r="A55" s="3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ht="17.25" thickBot="1" x14ac:dyDescent="0.3">
      <c r="A56" s="3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ht="17.25" thickBot="1" x14ac:dyDescent="0.3">
      <c r="A57" s="3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ht="17.25" thickBot="1" x14ac:dyDescent="0.3">
      <c r="A58" s="3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ht="17.25" thickBot="1" x14ac:dyDescent="0.3">
      <c r="A59" s="3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ht="17.25" thickBot="1" x14ac:dyDescent="0.3">
      <c r="A60" s="3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ht="17.25" thickBot="1" x14ac:dyDescent="0.3">
      <c r="A61" s="3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ht="17.25" thickBot="1" x14ac:dyDescent="0.3">
      <c r="A62" s="3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ht="17.25" thickBot="1" x14ac:dyDescent="0.3">
      <c r="A63" s="3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ht="17.25" thickBot="1" x14ac:dyDescent="0.3">
      <c r="A64" s="3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ht="17.25" thickBot="1" x14ac:dyDescent="0.3">
      <c r="A65" s="3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ht="17.25" thickBot="1" x14ac:dyDescent="0.3">
      <c r="A66" s="3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ht="17.25" thickBot="1" x14ac:dyDescent="0.3">
      <c r="A67" s="3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ht="17.25" thickBot="1" x14ac:dyDescent="0.3">
      <c r="A68" s="3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ht="17.25" thickBot="1" x14ac:dyDescent="0.3">
      <c r="A69" s="3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ht="17.25" thickBot="1" x14ac:dyDescent="0.3">
      <c r="A70" s="3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ht="17.25" thickBot="1" x14ac:dyDescent="0.3">
      <c r="A71" s="3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ht="17.25" thickBot="1" x14ac:dyDescent="0.3">
      <c r="A72" s="3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 ht="17.25" thickBot="1" x14ac:dyDescent="0.3">
      <c r="A73" s="3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 ht="17.25" thickBot="1" x14ac:dyDescent="0.3">
      <c r="A74" s="3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 ht="17.25" thickBot="1" x14ac:dyDescent="0.3">
      <c r="A75" s="3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 ht="17.25" thickBot="1" x14ac:dyDescent="0.3">
      <c r="A76" s="3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 ht="17.25" thickBot="1" x14ac:dyDescent="0.3">
      <c r="A77" s="3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ht="17.25" thickBot="1" x14ac:dyDescent="0.3">
      <c r="A78" s="3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ht="17.25" thickBot="1" x14ac:dyDescent="0.3">
      <c r="A79" s="3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ht="17.25" thickBot="1" x14ac:dyDescent="0.3">
      <c r="A80" s="3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ht="17.25" thickBot="1" x14ac:dyDescent="0.3">
      <c r="A81" s="3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ht="17.25" thickBot="1" x14ac:dyDescent="0.3">
      <c r="A82" s="3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ht="17.25" thickBot="1" x14ac:dyDescent="0.3">
      <c r="A83" s="3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ht="17.25" thickBot="1" x14ac:dyDescent="0.3">
      <c r="A84" s="3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ht="17.25" thickBot="1" x14ac:dyDescent="0.3">
      <c r="A85" s="3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ht="17.25" thickBot="1" x14ac:dyDescent="0.3">
      <c r="A86" s="3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ht="17.25" thickBot="1" x14ac:dyDescent="0.3">
      <c r="A87" s="3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ht="17.25" thickBot="1" x14ac:dyDescent="0.3">
      <c r="A88" s="3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ht="17.25" thickBot="1" x14ac:dyDescent="0.3">
      <c r="A89" s="3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ht="17.25" thickBot="1" x14ac:dyDescent="0.3">
      <c r="A90" s="3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ht="17.25" thickBot="1" x14ac:dyDescent="0.3">
      <c r="A91" s="3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ht="17.25" thickBot="1" x14ac:dyDescent="0.3">
      <c r="A92" s="3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ht="17.25" thickBot="1" x14ac:dyDescent="0.3">
      <c r="A93" s="3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ht="17.25" thickBot="1" x14ac:dyDescent="0.3">
      <c r="A94" s="3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 ht="17.25" thickBot="1" x14ac:dyDescent="0.3">
      <c r="A95" s="3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 ht="17.25" thickBot="1" x14ac:dyDescent="0.3">
      <c r="A96" s="3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 ht="17.25" thickBot="1" x14ac:dyDescent="0.3">
      <c r="A97" s="3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 ht="17.25" thickBot="1" x14ac:dyDescent="0.3">
      <c r="A98" s="3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 ht="17.25" thickBot="1" x14ac:dyDescent="0.3">
      <c r="A99" s="3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 ht="17.25" thickBot="1" x14ac:dyDescent="0.3">
      <c r="A100" s="3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 ht="17.25" thickBot="1" x14ac:dyDescent="0.3">
      <c r="A101" s="3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 ht="17.25" thickBot="1" x14ac:dyDescent="0.3">
      <c r="A102" s="3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 ht="17.25" thickBot="1" x14ac:dyDescent="0.3">
      <c r="A103" s="3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 ht="17.25" thickBot="1" x14ac:dyDescent="0.3">
      <c r="A104" s="3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 ht="17.25" thickBot="1" x14ac:dyDescent="0.3">
      <c r="A105" s="3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 ht="17.25" thickBot="1" x14ac:dyDescent="0.3">
      <c r="A106" s="3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 ht="17.25" thickBot="1" x14ac:dyDescent="0.3">
      <c r="A107" s="3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 ht="17.25" thickBot="1" x14ac:dyDescent="0.3">
      <c r="A108" s="3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 ht="17.25" thickBot="1" x14ac:dyDescent="0.3">
      <c r="A109" s="3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 ht="17.25" thickBot="1" x14ac:dyDescent="0.3">
      <c r="A110" s="3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 ht="17.25" thickBot="1" x14ac:dyDescent="0.3">
      <c r="A111" s="3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 ht="17.25" thickBot="1" x14ac:dyDescent="0.3">
      <c r="A112" s="3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 ht="17.25" thickBot="1" x14ac:dyDescent="0.3">
      <c r="A113" s="3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 ht="17.25" thickBot="1" x14ac:dyDescent="0.3">
      <c r="A114" s="3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 ht="17.25" thickBot="1" x14ac:dyDescent="0.3">
      <c r="A115" s="3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 ht="17.25" thickBot="1" x14ac:dyDescent="0.3">
      <c r="A116" s="3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 ht="17.25" thickBot="1" x14ac:dyDescent="0.3">
      <c r="A117" s="3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 ht="17.25" thickBot="1" x14ac:dyDescent="0.3">
      <c r="A118" s="3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 ht="17.25" thickBot="1" x14ac:dyDescent="0.3">
      <c r="A119" s="3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 ht="17.25" thickBot="1" x14ac:dyDescent="0.3">
      <c r="A120" s="3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 ht="17.25" thickBot="1" x14ac:dyDescent="0.3">
      <c r="A121" s="3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 ht="17.25" thickBot="1" x14ac:dyDescent="0.3">
      <c r="A122" s="3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 ht="17.25" thickBot="1" x14ac:dyDescent="0.3">
      <c r="A123" s="3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  <row r="124" spans="1:13" ht="17.25" thickBot="1" x14ac:dyDescent="0.3">
      <c r="A124" s="3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</row>
    <row r="125" spans="1:13" ht="17.25" thickBot="1" x14ac:dyDescent="0.3">
      <c r="A125" s="3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</row>
    <row r="126" spans="1:13" ht="17.25" thickBot="1" x14ac:dyDescent="0.3">
      <c r="A126" s="3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</row>
    <row r="127" spans="1:13" ht="17.25" thickBot="1" x14ac:dyDescent="0.3">
      <c r="A127" s="3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</row>
    <row r="128" spans="1:13" ht="17.25" thickBot="1" x14ac:dyDescent="0.3">
      <c r="A128" s="3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</row>
    <row r="129" spans="1:13" ht="17.25" thickBot="1" x14ac:dyDescent="0.3">
      <c r="A129" s="3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</row>
    <row r="130" spans="1:13" ht="17.25" thickBot="1" x14ac:dyDescent="0.3">
      <c r="A130" s="3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</row>
    <row r="131" spans="1:13" ht="17.25" thickBot="1" x14ac:dyDescent="0.3">
      <c r="A131" s="3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</row>
    <row r="132" spans="1:13" ht="17.25" thickBot="1" x14ac:dyDescent="0.3">
      <c r="A132" s="3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</row>
    <row r="133" spans="1:13" ht="17.25" thickBot="1" x14ac:dyDescent="0.3">
      <c r="A133" s="3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</row>
    <row r="134" spans="1:13" ht="17.25" thickBot="1" x14ac:dyDescent="0.3">
      <c r="A134" s="3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</row>
    <row r="135" spans="1:13" ht="17.25" thickBot="1" x14ac:dyDescent="0.3">
      <c r="A135" s="3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</row>
    <row r="136" spans="1:13" ht="17.25" thickBot="1" x14ac:dyDescent="0.3">
      <c r="A136" s="3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</row>
    <row r="137" spans="1:13" ht="17.25" thickBot="1" x14ac:dyDescent="0.3">
      <c r="A137" s="3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</row>
    <row r="138" spans="1:13" ht="17.25" thickBot="1" x14ac:dyDescent="0.3">
      <c r="A138" s="3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</row>
    <row r="139" spans="1:13" ht="17.25" thickBot="1" x14ac:dyDescent="0.3">
      <c r="A139" s="3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</row>
    <row r="140" spans="1:13" ht="17.25" thickBot="1" x14ac:dyDescent="0.3">
      <c r="A140" s="3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</row>
    <row r="141" spans="1:13" ht="17.25" thickBot="1" x14ac:dyDescent="0.3">
      <c r="A141" s="3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</row>
    <row r="142" spans="1:13" ht="17.25" thickBot="1" x14ac:dyDescent="0.3">
      <c r="A142" s="3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</row>
    <row r="143" spans="1:13" ht="17.25" thickBot="1" x14ac:dyDescent="0.3">
      <c r="A143" s="3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</row>
    <row r="144" spans="1:13" ht="17.25" thickBot="1" x14ac:dyDescent="0.3">
      <c r="A144" s="3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</row>
    <row r="145" spans="1:13" ht="17.25" thickBot="1" x14ac:dyDescent="0.3">
      <c r="A145" s="3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</row>
    <row r="146" spans="1:13" ht="17.25" thickBot="1" x14ac:dyDescent="0.3">
      <c r="A146" s="3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</row>
    <row r="147" spans="1:13" ht="17.25" thickBot="1" x14ac:dyDescent="0.3">
      <c r="A147" s="3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</row>
    <row r="148" spans="1:13" ht="17.25" thickBot="1" x14ac:dyDescent="0.3">
      <c r="A148" s="3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</row>
    <row r="149" spans="1:13" ht="17.25" thickBot="1" x14ac:dyDescent="0.3">
      <c r="A149" s="3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</row>
    <row r="150" spans="1:13" ht="17.25" thickBot="1" x14ac:dyDescent="0.3">
      <c r="A150" s="3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</row>
    <row r="151" spans="1:13" ht="17.25" thickBot="1" x14ac:dyDescent="0.3">
      <c r="A151" s="3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</row>
    <row r="152" spans="1:13" ht="17.25" thickBot="1" x14ac:dyDescent="0.3">
      <c r="A152" s="3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</row>
    <row r="153" spans="1:13" ht="17.25" thickBot="1" x14ac:dyDescent="0.3">
      <c r="A153" s="3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</row>
    <row r="154" spans="1:13" ht="17.25" thickBot="1" x14ac:dyDescent="0.3">
      <c r="A154" s="3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</row>
    <row r="155" spans="1:13" ht="17.25" thickBot="1" x14ac:dyDescent="0.3">
      <c r="A155" s="3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</row>
    <row r="156" spans="1:13" ht="17.25" thickBot="1" x14ac:dyDescent="0.3">
      <c r="A156" s="3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</row>
    <row r="157" spans="1:13" ht="17.25" thickBot="1" x14ac:dyDescent="0.3">
      <c r="A157" s="3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</row>
    <row r="158" spans="1:13" ht="17.25" thickBot="1" x14ac:dyDescent="0.3">
      <c r="A158" s="3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</row>
    <row r="159" spans="1:13" ht="17.25" thickBot="1" x14ac:dyDescent="0.3">
      <c r="A159" s="3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</row>
    <row r="160" spans="1:13" ht="17.25" thickBot="1" x14ac:dyDescent="0.3">
      <c r="A160" s="3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</row>
    <row r="161" spans="1:13" ht="17.25" thickBot="1" x14ac:dyDescent="0.3">
      <c r="A161" s="3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</row>
    <row r="162" spans="1:13" ht="17.25" thickBot="1" x14ac:dyDescent="0.3">
      <c r="A162" s="3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</row>
    <row r="163" spans="1:13" ht="17.25" thickBot="1" x14ac:dyDescent="0.3">
      <c r="A163" s="3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</row>
    <row r="164" spans="1:13" ht="17.25" thickBot="1" x14ac:dyDescent="0.3">
      <c r="A164" s="3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</row>
    <row r="165" spans="1:13" ht="17.25" thickBot="1" x14ac:dyDescent="0.3">
      <c r="A165" s="3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</row>
    <row r="166" spans="1:13" ht="17.25" thickBot="1" x14ac:dyDescent="0.3">
      <c r="A166" s="3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</row>
    <row r="167" spans="1:13" ht="17.25" thickBot="1" x14ac:dyDescent="0.3">
      <c r="A167" s="3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</row>
    <row r="168" spans="1:13" ht="17.25" thickBot="1" x14ac:dyDescent="0.3">
      <c r="A168" s="3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</row>
    <row r="169" spans="1:13" ht="17.25" thickBot="1" x14ac:dyDescent="0.3">
      <c r="A169" s="3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</row>
    <row r="170" spans="1:13" ht="17.25" thickBot="1" x14ac:dyDescent="0.3">
      <c r="A170" s="3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</row>
    <row r="171" spans="1:13" ht="17.25" thickBot="1" x14ac:dyDescent="0.3">
      <c r="A171" s="3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</row>
    <row r="172" spans="1:13" ht="17.25" thickBot="1" x14ac:dyDescent="0.3">
      <c r="A172" s="3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ht="17.25" thickBot="1" x14ac:dyDescent="0.3">
      <c r="A173" s="3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ht="17.25" thickBot="1" x14ac:dyDescent="0.3">
      <c r="A174" s="3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ht="17.25" thickBot="1" x14ac:dyDescent="0.3">
      <c r="A175" s="3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ht="17.25" thickBot="1" x14ac:dyDescent="0.3">
      <c r="A176" s="3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ht="17.25" thickBot="1" x14ac:dyDescent="0.3">
      <c r="A177" s="3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ht="17.25" thickBot="1" x14ac:dyDescent="0.3">
      <c r="A178" s="3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ht="17.25" thickBot="1" x14ac:dyDescent="0.3">
      <c r="A179" s="3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ht="17.25" thickBot="1" x14ac:dyDescent="0.3">
      <c r="A180" s="3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ht="17.25" thickBot="1" x14ac:dyDescent="0.3">
      <c r="A181" s="3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ht="17.25" thickBot="1" x14ac:dyDescent="0.3">
      <c r="A182" s="3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ht="17.25" thickBot="1" x14ac:dyDescent="0.3">
      <c r="A183" s="3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ht="17.25" thickBot="1" x14ac:dyDescent="0.3">
      <c r="A184" s="3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ht="17.25" thickBot="1" x14ac:dyDescent="0.3">
      <c r="A185" s="3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ht="17.25" thickBot="1" x14ac:dyDescent="0.3">
      <c r="A186" s="3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ht="17.25" thickBot="1" x14ac:dyDescent="0.3">
      <c r="A187" s="3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ht="17.25" thickBot="1" x14ac:dyDescent="0.3">
      <c r="A188" s="3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ht="17.25" thickBot="1" x14ac:dyDescent="0.3">
      <c r="A189" s="3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ht="17.25" thickBot="1" x14ac:dyDescent="0.3">
      <c r="A190" s="3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ht="17.25" thickBot="1" x14ac:dyDescent="0.3">
      <c r="A191" s="3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ht="17.25" thickBot="1" x14ac:dyDescent="0.3">
      <c r="A192" s="3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ht="17.25" thickBot="1" x14ac:dyDescent="0.3">
      <c r="A193" s="3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ht="17.25" thickBot="1" x14ac:dyDescent="0.3">
      <c r="A194" s="3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ht="17.25" thickBot="1" x14ac:dyDescent="0.3">
      <c r="A195" s="3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ht="17.25" thickBot="1" x14ac:dyDescent="0.3">
      <c r="A196" s="3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ht="17.25" thickBot="1" x14ac:dyDescent="0.3">
      <c r="A197" s="3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ht="17.25" thickBot="1" x14ac:dyDescent="0.3">
      <c r="A198" s="3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ht="17.25" thickBot="1" x14ac:dyDescent="0.3">
      <c r="A199" s="3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ht="17.25" thickBot="1" x14ac:dyDescent="0.3">
      <c r="A200" s="3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ht="17.25" thickBot="1" x14ac:dyDescent="0.3">
      <c r="A201" s="3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ht="17.25" thickBot="1" x14ac:dyDescent="0.3">
      <c r="A202" s="3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ht="17.25" thickBot="1" x14ac:dyDescent="0.3">
      <c r="A203" s="3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ht="17.25" thickBot="1" x14ac:dyDescent="0.3">
      <c r="A204" s="3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ht="17.25" thickBot="1" x14ac:dyDescent="0.3">
      <c r="A205" s="3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ht="17.25" thickBot="1" x14ac:dyDescent="0.3">
      <c r="A206" s="3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ht="17.25" thickBot="1" x14ac:dyDescent="0.3">
      <c r="A207" s="3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</sheetData>
  <mergeCells count="1">
    <mergeCell ref="A15:M15"/>
  </mergeCells>
  <phoneticPr fontId="1" type="noConversion"/>
  <pageMargins left="0.7" right="0.7" top="0.75" bottom="0.75" header="0.3" footer="0.3"/>
  <pageSetup paperSize="9" scale="46" orientation="landscape" r:id="rId1"/>
  <rowBreaks count="1" manualBreakCount="1">
    <brk id="1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買權</vt:lpstr>
      <vt:lpstr>賣權 </vt:lpstr>
      <vt:lpstr>買權!Print_Area</vt:lpstr>
      <vt:lpstr>'賣權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交易部-溫士懿</dc:creator>
  <cp:lastModifiedBy>sandylo</cp:lastModifiedBy>
  <cp:lastPrinted>2019-03-26T06:28:02Z</cp:lastPrinted>
  <dcterms:created xsi:type="dcterms:W3CDTF">2018-02-26T06:23:53Z</dcterms:created>
  <dcterms:modified xsi:type="dcterms:W3CDTF">2019-04-24T06:49:38Z</dcterms:modified>
</cp:coreProperties>
</file>