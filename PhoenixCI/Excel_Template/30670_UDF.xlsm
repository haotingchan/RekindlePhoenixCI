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AA989D97-AB33-4C64-B652-CAD2ABFA74E3}" xr6:coauthVersionLast="41" xr6:coauthVersionMax="41" xr10:uidLastSave="{00000000-0000-0000-0000-000000000000}"/>
  <bookViews>
    <workbookView xWindow="2190" yWindow="2430" windowWidth="21600" windowHeight="113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OFFSET(走勢圖!$E$2,COUNTA(走勢圖!$E$2:$E$9998)-10,0,10,1)</definedName>
    <definedName name="Nifty50">OFFSET(走勢圖!$C$2,COUNTA(走勢圖!$C$2:$C$9998)-10,0,10,1)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OFFSET(走勢圖!$D$2,COUNTA(走勢圖!$D$2:$D$9998)-10,0,10,1)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" i="6" l="1"/>
  <c r="E22" i="7"/>
  <c r="C1" i="7"/>
  <c r="C22" i="7" s="1"/>
  <c r="B1" i="7"/>
  <c r="G24" i="6" s="1"/>
  <c r="D22" i="7"/>
  <c r="B22" i="7"/>
  <c r="D24" i="7"/>
  <c r="B24" i="7"/>
  <c r="B6" i="6" s="1"/>
  <c r="G36" i="6" l="1"/>
  <c r="K3" i="6"/>
  <c r="A22" i="7"/>
  <c r="B10" i="6"/>
  <c r="A5" i="6"/>
  <c r="B24" i="6"/>
</calcChain>
</file>

<file path=xl/sharedStrings.xml><?xml version="1.0" encoding="utf-8"?>
<sst xmlns="http://schemas.openxmlformats.org/spreadsheetml/2006/main" count="40" uniqueCount="28">
  <si>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</si>
  <si>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</si>
  <si>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</si>
  <si>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</si>
  <si>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</si>
  <si>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</si>
  <si>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</si>
  <si>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</si>
  <si>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</si>
  <si>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</si>
  <si>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</si>
  <si>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</si>
  <si>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</si>
  <si>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</si>
  <si>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</si>
  <si>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 xml:space="preserve">     美國道瓊期貨及美國標普500期貨週報</t>
    <phoneticPr fontId="1" type="noConversion"/>
  </si>
  <si>
    <r>
      <t>UDF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</si>
  <si>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SPF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</si>
  <si>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rPr>
        <sz val="12"/>
        <color indexed="8"/>
        <rFont val="標楷體"/>
        <family val="4"/>
        <charset val="136"/>
      </rPr>
      <t>美國道瓊及美國標普</t>
    </r>
    <r>
      <rPr>
        <sz val="12"/>
        <color indexed="8"/>
        <rFont val="Times New Roman"/>
        <family val="1"/>
      </rPr>
      <t xml:space="preserve"> 500</t>
    </r>
    <r>
      <rPr>
        <sz val="12"/>
        <color indexed="8"/>
        <rFont val="標楷體"/>
        <family val="4"/>
        <charset val="136"/>
      </rPr>
      <t>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</si>
  <si>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美國道瓊期貨及美國標普500期貨契約規格</t>
    <phoneticPr fontId="1" type="noConversion"/>
  </si>
  <si>
    <t>UDF</t>
    <phoneticPr fontId="1" type="noConversion"/>
  </si>
  <si>
    <t>SPF</t>
    <phoneticPr fontId="1" type="noConversion"/>
  </si>
  <si>
    <t>第4季月</t>
    <phoneticPr fontId="1" type="noConversion"/>
  </si>
  <si>
    <t>第5季月</t>
    <phoneticPr fontId="1" type="noConversion"/>
  </si>
  <si>
    <t>DJIA</t>
    <phoneticPr fontId="3" type="noConversion"/>
  </si>
  <si>
    <t>S&amp;P 500</t>
    <phoneticPr fontId="3" type="noConversion"/>
  </si>
  <si>
    <t>UDF(近月)</t>
    <phoneticPr fontId="3" type="noConversion"/>
  </si>
  <si>
    <t>SPF(近月)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</si>
</sst>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2" fillId="0" borderId="0" xfId="0" applyFont="1" applyFill="1">
      <alignment vertical="center"/>
    </xf>
    <xf numFmtId="0" fontId="31" fillId="0" borderId="0" xfId="0" quotePrefix="1" applyFont="1">
      <alignment vertical="center"/>
    </xf>
    <xf numFmtId="0" fontId="32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3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5" fillId="0" borderId="10" xfId="0" quotePrefix="1" applyFont="1" applyBorder="1" applyAlignment="1"/>
    <xf numFmtId="0" fontId="32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6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7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2" fillId="0" borderId="0" xfId="0" applyNumberFormat="1" applyFont="1" applyFill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19" applyFont="1"/>
    <xf numFmtId="0" fontId="39" fillId="0" borderId="0" xfId="0" applyFont="1" applyAlignment="1">
      <alignment vertical="top" wrapText="1"/>
    </xf>
    <xf numFmtId="0" fontId="37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56"/>
          <c:y val="4.5936061271029713E-2"/>
          <c:w val="0.81639513730860802"/>
          <c:h val="0.803895271287827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27-44F5-9C38-266E46D5F018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27-44F5-9C38-266E46D5F018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27-44F5-9C38-266E46D5F018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27-44F5-9C38-266E46D5F018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27-44F5-9C38-266E46D5F018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F327-44F5-9C38-266E46D5F018}"/>
            </c:ext>
          </c:extLst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F327-44F5-9C38-266E46D5F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745096"/>
        <c:axId val="1"/>
      </c:barChart>
      <c:catAx>
        <c:axId val="525745096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5745096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127659256271"/>
          <c:y val="5.256279616631631E-2"/>
          <c:w val="0.28085724327194139"/>
          <c:h val="0.15648175199819478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5E-4733-9DAB-D1F43F0F5906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5E-4733-9DAB-D1F43F0F5906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5E-4733-9DAB-D1F43F0F5906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5E-4733-9DAB-D1F43F0F5906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5E-4733-9DAB-D1F43F0F5906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975E-4733-9DAB-D1F43F0F5906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975E-4733-9DAB-D1F43F0F5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748048"/>
        <c:axId val="1"/>
      </c:barChart>
      <c:catAx>
        <c:axId val="52574804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574804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0090405367"/>
          <c:y val="5.2562634216177531E-2"/>
          <c:w val="0.280857392825896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2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1D6F-43FB-9317-D51459F74E90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D6F-43FB-9317-D51459F74E90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1D6F-43FB-9317-D51459F74E90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D6F-43FB-9317-D51459F74E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1D6F-43FB-9317-D51459F74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9037-4E19-9888-1CEB5B520889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037-4E19-9888-1CEB5B520889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9037-4E19-9888-1CEB5B520889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9037-4E19-9888-1CEB5B520889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9037-4E19-9888-1CEB5B5208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9037-4E19-9888-1CEB5B520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E674-463A-B7F5-9192EA631C35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674-463A-B7F5-9192EA631C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E674-463A-B7F5-9192EA631C35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E674-463A-B7F5-9192EA631C35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E674-463A-B7F5-9192EA631C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Data!$C$5:$C$9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E674-463A-B7F5-9192EA631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E0BC-4E01-A90D-527AB884C9C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0BC-4E01-A90D-527AB884C9C1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E0BC-4E01-A90D-527AB884C9C1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E0BC-4E01-A90D-527AB884C9C1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E0BC-4E01-A90D-527AB884C9C1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BC-4E01-A90D-527AB884C9C1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BC-4E01-A90D-527AB884C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E0BC-4E01-A90D-527AB884C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104"/>
          <c:h val="0.71357141458064366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DJIA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F-4EE0-AB46-C510301D53C6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UDF(近月)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4F-4EE0-AB46-C510301D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094040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S&amp;P 500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4F-4EE0-AB46-C510301D53C6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SPF(近月)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4F-4EE0-AB46-C510301D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52609404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526094040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0159666957518163"/>
          <c:y val="0.9045225622947759"/>
          <c:w val="0.83221190809092793"/>
          <c:h val="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206" name="圖片 1">
          <a:extLst>
            <a:ext uri="{FF2B5EF4-FFF2-40B4-BE49-F238E27FC236}">
              <a16:creationId xmlns:a16="http://schemas.microsoft.com/office/drawing/2014/main" id="{C3CA59DB-E350-49D1-BCC0-B724058D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207" name="圖表 5">
          <a:extLst>
            <a:ext uri="{FF2B5EF4-FFF2-40B4-BE49-F238E27FC236}">
              <a16:creationId xmlns:a16="http://schemas.microsoft.com/office/drawing/2014/main" id="{51E9A599-D698-4053-94E1-717894317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208" name="圖表 6">
          <a:extLst>
            <a:ext uri="{FF2B5EF4-FFF2-40B4-BE49-F238E27FC236}">
              <a16:creationId xmlns:a16="http://schemas.microsoft.com/office/drawing/2014/main" id="{0782EB1A-764E-4991-B071-DDC847B64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209" name="圖表 7">
          <a:extLst>
            <a:ext uri="{FF2B5EF4-FFF2-40B4-BE49-F238E27FC236}">
              <a16:creationId xmlns:a16="http://schemas.microsoft.com/office/drawing/2014/main" id="{813CEF6F-D81D-4B0C-B686-E0FFF8A02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210" name="圖表 8">
          <a:extLst>
            <a:ext uri="{FF2B5EF4-FFF2-40B4-BE49-F238E27FC236}">
              <a16:creationId xmlns:a16="http://schemas.microsoft.com/office/drawing/2014/main" id="{556897D2-A91D-4188-8D92-CBB988DEC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211" name="圖表 9">
          <a:extLst>
            <a:ext uri="{FF2B5EF4-FFF2-40B4-BE49-F238E27FC236}">
              <a16:creationId xmlns:a16="http://schemas.microsoft.com/office/drawing/2014/main" id="{9FBBADD0-8BB5-44B3-9090-D9C9BB1A9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212" name="圖表 10">
          <a:extLst>
            <a:ext uri="{FF2B5EF4-FFF2-40B4-BE49-F238E27FC236}">
              <a16:creationId xmlns:a16="http://schemas.microsoft.com/office/drawing/2014/main" id="{216151A0-AA52-4793-975E-C312E383A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61</xdr:row>
      <xdr:rowOff>0</xdr:rowOff>
    </xdr:to>
    <xdr:graphicFrame macro="">
      <xdr:nvGraphicFramePr>
        <xdr:cNvPr id="4213" name="圖表 3">
          <a:extLst>
            <a:ext uri="{FF2B5EF4-FFF2-40B4-BE49-F238E27FC236}">
              <a16:creationId xmlns:a16="http://schemas.microsoft.com/office/drawing/2014/main" id="{3A929A39-202A-40AC-9DCE-954F2AA3E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161925</xdr:colOff>
      <xdr:row>63</xdr:row>
      <xdr:rowOff>85725</xdr:rowOff>
    </xdr:from>
    <xdr:to>
      <xdr:col>10</xdr:col>
      <xdr:colOff>209550</xdr:colOff>
      <xdr:row>89</xdr:row>
      <xdr:rowOff>9525</xdr:rowOff>
    </xdr:to>
    <xdr:pic>
      <xdr:nvPicPr>
        <xdr:cNvPr id="4214" name="Picture 91">
          <a:extLst>
            <a:ext uri="{FF2B5EF4-FFF2-40B4-BE49-F238E27FC236}">
              <a16:creationId xmlns:a16="http://schemas.microsoft.com/office/drawing/2014/main" id="{736FE7B7-9171-4FA3-AD5E-DE74EB379D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3220700"/>
          <a:ext cx="6324600" cy="537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A5" sqref="A5"/>
    </sheetView>
  </sheetViews>
  <sheetFormatPr defaultColWidth="8.875" defaultRowHeight="16.5"/>
  <cols>
    <col min="1" max="1" width="20.25" style="1" customWidth="1"/>
    <col min="2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8" t="s">
        <v>0</v>
      </c>
      <c r="B1" s="45">
        <f>MIN(A13:A18)</f>
        <v>0</v>
      </c>
      <c r="C1" s="45">
        <f>MAX(A13:A18)</f>
        <v>0</v>
      </c>
    </row>
    <row r="2" spans="1:7" s="5" customFormat="1"/>
    <row r="3" spans="1:7" s="33" customFormat="1">
      <c r="A3" s="29"/>
      <c r="B3" s="29" t="s">
        <v>20</v>
      </c>
      <c r="C3" s="29"/>
      <c r="D3" s="29" t="s">
        <v>21</v>
      </c>
      <c r="E3" s="29"/>
    </row>
    <row r="4" spans="1:7">
      <c r="A4" s="40" t="s">
        <v>9</v>
      </c>
      <c r="B4" s="30" t="s">
        <v>3</v>
      </c>
      <c r="C4" s="29" t="s">
        <v>5</v>
      </c>
      <c r="D4" s="30" t="s">
        <v>3</v>
      </c>
      <c r="E4" s="29" t="s">
        <v>4</v>
      </c>
      <c r="G4" s="2"/>
    </row>
    <row r="5" spans="1:7">
      <c r="A5" s="36" t="s">
        <v>6</v>
      </c>
      <c r="B5" s="37"/>
      <c r="C5" s="34"/>
      <c r="D5" s="37"/>
      <c r="E5" s="34"/>
      <c r="G5" s="2"/>
    </row>
    <row r="6" spans="1:7">
      <c r="A6" s="36" t="s">
        <v>7</v>
      </c>
      <c r="B6" s="37"/>
      <c r="C6" s="34"/>
      <c r="D6" s="37"/>
      <c r="E6" s="34"/>
      <c r="G6" s="2"/>
    </row>
    <row r="7" spans="1:7">
      <c r="A7" s="36" t="s">
        <v>8</v>
      </c>
      <c r="B7" s="37"/>
      <c r="C7" s="34"/>
      <c r="D7" s="37"/>
      <c r="E7" s="34"/>
    </row>
    <row r="8" spans="1:7">
      <c r="A8" s="36" t="s">
        <v>22</v>
      </c>
      <c r="B8" s="37"/>
      <c r="C8" s="34"/>
      <c r="D8" s="37"/>
      <c r="E8" s="34"/>
      <c r="G8" s="33"/>
    </row>
    <row r="9" spans="1:7">
      <c r="A9" s="36" t="s">
        <v>23</v>
      </c>
      <c r="B9" s="37"/>
      <c r="C9" s="34"/>
      <c r="D9" s="37"/>
      <c r="E9" s="34"/>
      <c r="G9" s="33"/>
    </row>
    <row r="10" spans="1:7">
      <c r="A10" s="31"/>
      <c r="B10" s="4"/>
      <c r="D10" s="3"/>
      <c r="E10" s="3"/>
    </row>
    <row r="11" spans="1:7">
      <c r="A11" s="29"/>
      <c r="B11" s="29" t="s">
        <v>20</v>
      </c>
      <c r="C11" s="29"/>
      <c r="D11" s="29" t="s">
        <v>21</v>
      </c>
      <c r="E11" s="29"/>
    </row>
    <row r="12" spans="1:7">
      <c r="A12" s="29" t="s">
        <v>2</v>
      </c>
      <c r="B12" s="30" t="s">
        <v>3</v>
      </c>
      <c r="C12" s="29" t="s">
        <v>5</v>
      </c>
      <c r="D12" s="30" t="s">
        <v>3</v>
      </c>
      <c r="E12" s="29" t="s">
        <v>4</v>
      </c>
    </row>
    <row r="13" spans="1:7">
      <c r="A13" s="39"/>
      <c r="B13" s="37"/>
      <c r="C13" s="37"/>
      <c r="D13" s="37"/>
      <c r="E13" s="37"/>
    </row>
    <row r="14" spans="1:7">
      <c r="A14" s="39"/>
      <c r="B14" s="37"/>
      <c r="C14" s="37"/>
      <c r="D14" s="37"/>
      <c r="E14" s="37"/>
    </row>
    <row r="15" spans="1:7">
      <c r="A15" s="39"/>
      <c r="B15" s="37"/>
      <c r="C15" s="37"/>
      <c r="D15" s="37"/>
      <c r="E15" s="37"/>
    </row>
    <row r="16" spans="1:7">
      <c r="A16" s="39"/>
      <c r="B16" s="37"/>
      <c r="C16" s="37"/>
      <c r="D16" s="37"/>
      <c r="E16" s="37"/>
    </row>
    <row r="17" spans="1:5">
      <c r="A17" s="39"/>
      <c r="B17" s="37"/>
      <c r="C17" s="37"/>
      <c r="D17" s="37"/>
      <c r="E17" s="37"/>
    </row>
    <row r="18" spans="1:5">
      <c r="A18" s="2"/>
      <c r="D18" s="3"/>
      <c r="E18" s="3"/>
    </row>
    <row r="19" spans="1:5">
      <c r="A19" s="2"/>
      <c r="D19" s="3"/>
      <c r="E19" s="3"/>
    </row>
    <row r="20" spans="1:5" s="33" customFormat="1">
      <c r="A20" s="29"/>
      <c r="B20" s="29" t="s">
        <v>20</v>
      </c>
      <c r="C20" s="29"/>
      <c r="D20" s="29" t="s">
        <v>21</v>
      </c>
      <c r="E20" s="29"/>
    </row>
    <row r="21" spans="1:5" s="33" customFormat="1">
      <c r="A21" s="29" t="s">
        <v>10</v>
      </c>
      <c r="B21" s="29" t="s">
        <v>11</v>
      </c>
      <c r="C21" s="29" t="s">
        <v>12</v>
      </c>
      <c r="D21" s="29" t="s">
        <v>11</v>
      </c>
      <c r="E21" s="29" t="s">
        <v>12</v>
      </c>
    </row>
    <row r="22" spans="1:5">
      <c r="A22" s="44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3" t="e">
        <f>ROUND(AVERAGE(D13:D18),0)</f>
        <v>#DIV/0!</v>
      </c>
      <c r="E22" s="33" t="e">
        <f>VLOOKUP($C$1,$A$13:$E$18,5,FALSE)</f>
        <v>#N/A</v>
      </c>
    </row>
    <row r="23" spans="1:5" ht="33">
      <c r="A23" s="41" t="s">
        <v>13</v>
      </c>
      <c r="B23" s="43"/>
      <c r="D23" s="42"/>
      <c r="E23" s="3"/>
    </row>
    <row r="24" spans="1:5" ht="33">
      <c r="A24" s="41" t="s">
        <v>14</v>
      </c>
      <c r="B24" s="1">
        <f>ROUND(B23/100000000,2)</f>
        <v>0</v>
      </c>
      <c r="D24" s="33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4"/>
  <sheetViews>
    <sheetView zoomScaleNormal="100" workbookViewId="0">
      <pane ySplit="1" topLeftCell="A2" activePane="bottomLeft" state="frozen"/>
      <selection pane="bottomLeft" activeCell="E14" sqref="E14"/>
    </sheetView>
  </sheetViews>
  <sheetFormatPr defaultColWidth="8.875" defaultRowHeight="16.5"/>
  <cols>
    <col min="1" max="1" width="12.125" style="6" customWidth="1"/>
    <col min="2" max="2" width="8.875" style="7"/>
    <col min="3" max="3" width="14.375" style="7" customWidth="1"/>
    <col min="4" max="4" width="13.875" style="7" bestFit="1" customWidth="1"/>
    <col min="5" max="6" width="13.875" style="7" customWidth="1"/>
    <col min="7" max="7" width="15.125" style="7" customWidth="1"/>
    <col min="8" max="16384" width="8.875" style="7"/>
  </cols>
  <sheetData>
    <row r="1" spans="1:7">
      <c r="B1" s="47" t="s">
        <v>24</v>
      </c>
      <c r="C1" s="47" t="s">
        <v>25</v>
      </c>
      <c r="D1" s="47" t="s">
        <v>26</v>
      </c>
      <c r="E1" s="47" t="s">
        <v>27</v>
      </c>
    </row>
    <row r="2" spans="1:7">
      <c r="A2" s="8">
        <v>42681</v>
      </c>
      <c r="B2" s="7">
        <v>0</v>
      </c>
      <c r="C2" s="7">
        <v>0</v>
      </c>
      <c r="D2" s="7">
        <v>0</v>
      </c>
      <c r="E2" s="7">
        <v>0</v>
      </c>
    </row>
    <row r="3" spans="1:7">
      <c r="A3" s="8">
        <v>42682</v>
      </c>
      <c r="B3" s="7">
        <v>0</v>
      </c>
      <c r="C3" s="7">
        <v>0</v>
      </c>
      <c r="D3" s="7">
        <v>0</v>
      </c>
      <c r="E3" s="7">
        <v>0</v>
      </c>
    </row>
    <row r="4" spans="1:7">
      <c r="A4" s="8">
        <v>42683</v>
      </c>
      <c r="B4" s="7">
        <v>0</v>
      </c>
      <c r="C4" s="7">
        <v>0</v>
      </c>
      <c r="D4" s="7">
        <v>0</v>
      </c>
      <c r="E4" s="7">
        <v>0</v>
      </c>
    </row>
    <row r="5" spans="1:7">
      <c r="A5" s="8">
        <v>42684</v>
      </c>
      <c r="B5" s="7">
        <v>0</v>
      </c>
      <c r="C5" s="7">
        <v>0</v>
      </c>
      <c r="D5" s="7">
        <v>0</v>
      </c>
      <c r="E5" s="7">
        <v>0</v>
      </c>
    </row>
    <row r="6" spans="1:7">
      <c r="A6" s="8">
        <v>42685</v>
      </c>
      <c r="B6" s="7">
        <v>0</v>
      </c>
      <c r="C6" s="7">
        <v>0</v>
      </c>
      <c r="D6" s="7">
        <v>0</v>
      </c>
      <c r="E6" s="7">
        <v>0</v>
      </c>
    </row>
    <row r="7" spans="1:7">
      <c r="A7" s="8">
        <v>42688</v>
      </c>
      <c r="B7" s="7">
        <v>0</v>
      </c>
      <c r="C7" s="7">
        <v>0</v>
      </c>
      <c r="D7" s="7">
        <v>0</v>
      </c>
      <c r="E7" s="7">
        <v>0</v>
      </c>
    </row>
    <row r="8" spans="1:7">
      <c r="A8" s="8">
        <v>42689</v>
      </c>
      <c r="B8" s="7">
        <v>0</v>
      </c>
      <c r="C8" s="7">
        <v>0</v>
      </c>
      <c r="D8" s="7">
        <v>0</v>
      </c>
      <c r="E8" s="7">
        <v>0</v>
      </c>
    </row>
    <row r="9" spans="1:7">
      <c r="A9" s="8">
        <v>42690</v>
      </c>
      <c r="B9" s="7">
        <v>0</v>
      </c>
      <c r="C9" s="7">
        <v>0</v>
      </c>
      <c r="D9" s="7">
        <v>0</v>
      </c>
      <c r="E9" s="7">
        <v>0</v>
      </c>
    </row>
    <row r="10" spans="1:7">
      <c r="A10" s="8">
        <v>42691</v>
      </c>
      <c r="B10" s="7">
        <v>0</v>
      </c>
      <c r="C10" s="7">
        <v>0</v>
      </c>
      <c r="D10" s="7">
        <v>0</v>
      </c>
      <c r="E10" s="7">
        <v>0</v>
      </c>
    </row>
    <row r="11" spans="1:7">
      <c r="A11" s="8">
        <v>42692</v>
      </c>
      <c r="B11" s="7">
        <v>0</v>
      </c>
      <c r="C11" s="7">
        <v>0</v>
      </c>
      <c r="D11" s="7">
        <v>0</v>
      </c>
      <c r="E11" s="7">
        <v>0</v>
      </c>
    </row>
    <row r="12" spans="1:7">
      <c r="A12" s="8">
        <v>42695</v>
      </c>
      <c r="B12" s="7">
        <v>0</v>
      </c>
      <c r="C12" s="7">
        <v>0</v>
      </c>
      <c r="D12" s="7">
        <v>0</v>
      </c>
      <c r="E12" s="7">
        <v>0</v>
      </c>
    </row>
    <row r="13" spans="1:7">
      <c r="A13" s="8">
        <v>42696</v>
      </c>
      <c r="B13" s="7">
        <v>0</v>
      </c>
      <c r="C13" s="7">
        <v>0</v>
      </c>
      <c r="D13" s="7">
        <v>0</v>
      </c>
      <c r="E13" s="7">
        <v>0</v>
      </c>
    </row>
    <row r="14" spans="1:7">
      <c r="A14" s="8">
        <v>42697</v>
      </c>
      <c r="B14" s="7">
        <v>0</v>
      </c>
      <c r="C14" s="7">
        <v>0</v>
      </c>
      <c r="D14" s="7">
        <v>0</v>
      </c>
      <c r="E14" s="7">
        <v>0</v>
      </c>
    </row>
    <row r="15" spans="1:7">
      <c r="A15" s="8">
        <v>42698</v>
      </c>
      <c r="B15" s="7">
        <v>0</v>
      </c>
      <c r="C15" s="7">
        <v>0</v>
      </c>
      <c r="D15" s="7">
        <v>0</v>
      </c>
      <c r="E15" s="7">
        <v>0</v>
      </c>
      <c r="G15" s="5"/>
    </row>
    <row r="16" spans="1:7">
      <c r="A16" s="8">
        <v>42699</v>
      </c>
      <c r="B16" s="7">
        <v>0</v>
      </c>
      <c r="C16" s="7">
        <v>0</v>
      </c>
      <c r="D16" s="7">
        <v>0</v>
      </c>
      <c r="E16" s="7">
        <v>0</v>
      </c>
    </row>
    <row r="17" spans="1:5">
      <c r="A17" s="8">
        <v>42702</v>
      </c>
      <c r="B17" s="7">
        <v>0</v>
      </c>
      <c r="C17" s="7">
        <v>0</v>
      </c>
      <c r="D17" s="7">
        <v>0</v>
      </c>
      <c r="E17" s="7">
        <v>0</v>
      </c>
    </row>
    <row r="18" spans="1:5">
      <c r="A18" s="8">
        <v>42703</v>
      </c>
      <c r="B18" s="7">
        <v>0</v>
      </c>
      <c r="C18" s="7">
        <v>0</v>
      </c>
      <c r="D18" s="7">
        <v>0</v>
      </c>
      <c r="E18" s="7">
        <v>0</v>
      </c>
    </row>
    <row r="19" spans="1:5">
      <c r="A19" s="8">
        <v>42704</v>
      </c>
      <c r="B19" s="7">
        <v>0</v>
      </c>
      <c r="C19" s="7">
        <v>0</v>
      </c>
      <c r="D19" s="7">
        <v>0</v>
      </c>
      <c r="E19" s="7">
        <v>0</v>
      </c>
    </row>
    <row r="20" spans="1:5">
      <c r="A20" s="8">
        <v>42705</v>
      </c>
      <c r="B20" s="7">
        <v>0</v>
      </c>
      <c r="C20" s="7">
        <v>0</v>
      </c>
      <c r="D20" s="7">
        <v>0</v>
      </c>
      <c r="E20" s="7">
        <v>0</v>
      </c>
    </row>
    <row r="21" spans="1:5">
      <c r="A21" s="8">
        <v>42706</v>
      </c>
      <c r="B21" s="7">
        <v>0</v>
      </c>
      <c r="C21" s="7">
        <v>0</v>
      </c>
      <c r="D21" s="7">
        <v>0</v>
      </c>
      <c r="E21" s="7">
        <v>0</v>
      </c>
    </row>
    <row r="22" spans="1:5">
      <c r="A22" s="8">
        <v>42709</v>
      </c>
      <c r="B22" s="7">
        <v>0</v>
      </c>
      <c r="C22" s="7">
        <v>0</v>
      </c>
      <c r="D22" s="7">
        <v>0</v>
      </c>
      <c r="E22" s="7">
        <v>0</v>
      </c>
    </row>
    <row r="23" spans="1:5">
      <c r="A23" s="8">
        <v>42710</v>
      </c>
      <c r="B23" s="7">
        <v>0</v>
      </c>
      <c r="C23" s="7">
        <v>0</v>
      </c>
      <c r="D23" s="7">
        <v>0</v>
      </c>
      <c r="E23" s="7">
        <v>0</v>
      </c>
    </row>
    <row r="24" spans="1:5">
      <c r="A24" s="8">
        <v>42711</v>
      </c>
      <c r="B24" s="7">
        <v>0</v>
      </c>
      <c r="C24" s="7">
        <v>0</v>
      </c>
      <c r="D24" s="7">
        <v>0</v>
      </c>
      <c r="E24" s="7">
        <v>0</v>
      </c>
    </row>
    <row r="25" spans="1:5">
      <c r="A25" s="8">
        <v>42712</v>
      </c>
      <c r="B25" s="7">
        <v>0</v>
      </c>
      <c r="C25" s="7">
        <v>0</v>
      </c>
      <c r="D25" s="7">
        <v>0</v>
      </c>
      <c r="E25" s="7">
        <v>0</v>
      </c>
    </row>
    <row r="26" spans="1:5">
      <c r="A26" s="8">
        <v>42713</v>
      </c>
      <c r="B26" s="7">
        <v>0</v>
      </c>
      <c r="C26" s="7">
        <v>0</v>
      </c>
      <c r="D26" s="7">
        <v>0</v>
      </c>
      <c r="E26" s="7">
        <v>0</v>
      </c>
    </row>
    <row r="27" spans="1:5">
      <c r="A27" s="8">
        <v>42716</v>
      </c>
      <c r="B27" s="7">
        <v>0</v>
      </c>
      <c r="C27" s="7">
        <v>0</v>
      </c>
      <c r="D27" s="7">
        <v>0</v>
      </c>
      <c r="E27" s="7">
        <v>0</v>
      </c>
    </row>
    <row r="28" spans="1:5">
      <c r="A28" s="8">
        <v>42717</v>
      </c>
      <c r="B28" s="7">
        <v>0</v>
      </c>
      <c r="C28" s="7">
        <v>0</v>
      </c>
      <c r="D28" s="7">
        <v>0</v>
      </c>
      <c r="E28" s="7">
        <v>0</v>
      </c>
    </row>
    <row r="29" spans="1:5">
      <c r="A29" s="8">
        <v>42718</v>
      </c>
      <c r="B29" s="7">
        <v>0</v>
      </c>
      <c r="C29" s="7">
        <v>0</v>
      </c>
      <c r="D29" s="7">
        <v>0</v>
      </c>
      <c r="E29" s="7">
        <v>0</v>
      </c>
    </row>
    <row r="30" spans="1:5">
      <c r="A30" s="8">
        <v>42719</v>
      </c>
      <c r="B30" s="7">
        <v>0</v>
      </c>
      <c r="C30" s="7">
        <v>0</v>
      </c>
      <c r="D30" s="7">
        <v>0</v>
      </c>
      <c r="E30" s="7">
        <v>0</v>
      </c>
    </row>
    <row r="31" spans="1:5">
      <c r="A31" s="8">
        <v>42720</v>
      </c>
      <c r="B31" s="7">
        <v>0</v>
      </c>
      <c r="C31" s="7">
        <v>0</v>
      </c>
      <c r="D31" s="7">
        <v>0</v>
      </c>
      <c r="E31" s="7">
        <v>0</v>
      </c>
    </row>
    <row r="32" spans="1:5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3">
      <c r="A129" s="10"/>
    </row>
    <row r="130" spans="1:3">
      <c r="A130" s="10"/>
    </row>
    <row r="131" spans="1:3">
      <c r="A131" s="10"/>
      <c r="B131" s="11"/>
    </row>
    <row r="132" spans="1:3">
      <c r="A132" s="10"/>
      <c r="B132" s="11"/>
    </row>
    <row r="133" spans="1:3">
      <c r="A133" s="10"/>
      <c r="B133" s="11"/>
    </row>
    <row r="134" spans="1:3">
      <c r="A134" s="10"/>
      <c r="B134" s="11"/>
    </row>
    <row r="135" spans="1:3">
      <c r="A135" s="10"/>
    </row>
    <row r="136" spans="1:3">
      <c r="A136" s="10"/>
    </row>
    <row r="137" spans="1:3">
      <c r="A137" s="10"/>
    </row>
    <row r="138" spans="1:3">
      <c r="A138" s="10"/>
    </row>
    <row r="139" spans="1:3">
      <c r="A139" s="10"/>
    </row>
    <row r="140" spans="1:3">
      <c r="A140" s="10"/>
    </row>
    <row r="141" spans="1:3">
      <c r="A141" s="10"/>
      <c r="C141" s="11"/>
    </row>
    <row r="142" spans="1:3">
      <c r="A142" s="10"/>
      <c r="C142" s="11"/>
    </row>
    <row r="143" spans="1:3">
      <c r="A143" s="10"/>
      <c r="C143" s="11"/>
    </row>
    <row r="144" spans="1:3">
      <c r="A144" s="10"/>
      <c r="C144" s="11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2"/>
    </row>
    <row r="203" spans="1:1">
      <c r="A203" s="32"/>
    </row>
    <row r="204" spans="1:1">
      <c r="A204" s="32"/>
    </row>
    <row r="205" spans="1:1">
      <c r="A205" s="32"/>
    </row>
    <row r="206" spans="1:1">
      <c r="A206" s="32"/>
    </row>
    <row r="207" spans="1:1">
      <c r="A207" s="32"/>
    </row>
    <row r="208" spans="1:1">
      <c r="A208" s="32"/>
    </row>
    <row r="209" spans="1:1">
      <c r="A209" s="32"/>
    </row>
    <row r="210" spans="1:1">
      <c r="A210" s="32"/>
    </row>
    <row r="211" spans="1:1">
      <c r="A211" s="32"/>
    </row>
    <row r="212" spans="1:1">
      <c r="A212" s="32"/>
    </row>
    <row r="213" spans="1:1">
      <c r="A213" s="32"/>
    </row>
    <row r="214" spans="1:1">
      <c r="A214" s="32"/>
    </row>
    <row r="215" spans="1:1">
      <c r="A215" s="32"/>
    </row>
    <row r="216" spans="1:1">
      <c r="A216" s="32"/>
    </row>
    <row r="217" spans="1:1">
      <c r="A217" s="32"/>
    </row>
    <row r="218" spans="1:1">
      <c r="A218" s="32"/>
    </row>
    <row r="219" spans="1:1">
      <c r="A219" s="32"/>
    </row>
    <row r="220" spans="1:1">
      <c r="A220" s="32"/>
    </row>
    <row r="221" spans="1:1">
      <c r="A221" s="32"/>
    </row>
    <row r="222" spans="1:1">
      <c r="A222" s="32"/>
    </row>
    <row r="223" spans="1:1">
      <c r="A223" s="32"/>
    </row>
    <row r="224" spans="1:1">
      <c r="A224" s="32"/>
    </row>
    <row r="225" spans="1:1">
      <c r="A225" s="32"/>
    </row>
    <row r="226" spans="1:1">
      <c r="A226" s="32"/>
    </row>
    <row r="227" spans="1:1">
      <c r="A227" s="32"/>
    </row>
    <row r="228" spans="1:1">
      <c r="A228" s="32"/>
    </row>
    <row r="229" spans="1:1">
      <c r="A229" s="32"/>
    </row>
    <row r="230" spans="1:1">
      <c r="A230" s="32"/>
    </row>
    <row r="231" spans="1:1">
      <c r="A231" s="32"/>
    </row>
    <row r="232" spans="1:1">
      <c r="A232" s="32"/>
    </row>
    <row r="233" spans="1:1">
      <c r="A233" s="32"/>
    </row>
    <row r="234" spans="1:1">
      <c r="A234" s="32"/>
    </row>
    <row r="235" spans="1:1">
      <c r="A235" s="32"/>
    </row>
    <row r="236" spans="1:1">
      <c r="A236" s="32"/>
    </row>
    <row r="237" spans="1:1">
      <c r="A237" s="32"/>
    </row>
    <row r="238" spans="1:1">
      <c r="A238" s="32"/>
    </row>
    <row r="239" spans="1:1">
      <c r="A239" s="32"/>
    </row>
    <row r="240" spans="1:1">
      <c r="A240" s="32"/>
    </row>
    <row r="241" spans="1:1">
      <c r="A241" s="32"/>
    </row>
    <row r="242" spans="1:1">
      <c r="A242" s="32"/>
    </row>
    <row r="243" spans="1:1">
      <c r="A243" s="32"/>
    </row>
    <row r="244" spans="1:1">
      <c r="A244" s="3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6"/>
  <sheetViews>
    <sheetView tabSelected="1" zoomScaleNormal="100" zoomScaleSheetLayoutView="100" workbookViewId="0">
      <selection activeCell="B10" sqref="B10:K10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9.12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5" t="s">
        <v>15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8" t="e">
        <f>"本週美國道瓊期貨(UDF)日均量為"&amp;TEXT(Data!$B$22,"#,000")&amp;"口，美國標普500期貨(SPF)為"&amp;TEXT(Data!$D$22,"#,000")&amp;"口。同期間UDF契約成交名目本金約"&amp;TEXT(Data!$B$24,"0.00")&amp;"億台幣，SPF約為"&amp;TEXT(Data!$D$24,"0.00")&amp;"億台幣。"</f>
        <v>#DIV/0!</v>
      </c>
      <c r="C6" s="49"/>
      <c r="D6" s="49"/>
      <c r="E6" s="49"/>
      <c r="F6" s="49"/>
      <c r="G6" s="49"/>
      <c r="H6" s="49"/>
      <c r="I6" s="49"/>
      <c r="J6" s="49"/>
      <c r="K6" s="49"/>
    </row>
    <row r="7" spans="1:17" ht="15.6" customHeight="1">
      <c r="B7" s="49"/>
      <c r="C7" s="49"/>
      <c r="D7" s="49"/>
      <c r="E7" s="49"/>
      <c r="F7" s="49"/>
      <c r="G7" s="49"/>
      <c r="H7" s="49"/>
      <c r="I7" s="49"/>
      <c r="J7" s="49"/>
      <c r="K7" s="49"/>
    </row>
    <row r="8" spans="1:17" ht="15.6" customHeight="1">
      <c r="B8" s="49"/>
      <c r="C8" s="49"/>
      <c r="D8" s="49"/>
      <c r="E8" s="49"/>
      <c r="F8" s="49"/>
      <c r="G8" s="49"/>
      <c r="H8" s="49"/>
      <c r="I8" s="49"/>
      <c r="J8" s="49"/>
      <c r="K8" s="49"/>
    </row>
    <row r="9" spans="1:17" ht="15.6" customHeight="1">
      <c r="B9" s="49"/>
      <c r="C9" s="49"/>
      <c r="D9" s="49"/>
      <c r="E9" s="49"/>
      <c r="F9" s="49"/>
      <c r="G9" s="49"/>
      <c r="H9" s="49"/>
      <c r="I9" s="49"/>
      <c r="J9" s="49"/>
      <c r="K9" s="49"/>
    </row>
    <row r="10" spans="1:17" ht="19.5">
      <c r="A10" s="19" t="s">
        <v>1</v>
      </c>
      <c r="B10" s="50" t="e">
        <f>MONTH(Data!$C$1)&amp;"月"&amp;DAY(Data!$C$1)&amp;"日收盤UDF未平倉量為"&amp;TEXT(Data!$C$22,"#,000")&amp;"口，SPF為"&amp;TEXT(Data!$E$22,"#,000")&amp;"口。"</f>
        <v>#N/A</v>
      </c>
      <c r="C10" s="50"/>
      <c r="D10" s="50"/>
      <c r="E10" s="50"/>
      <c r="F10" s="50"/>
      <c r="G10" s="50"/>
      <c r="H10" s="50"/>
      <c r="I10" s="50"/>
      <c r="J10" s="50"/>
      <c r="K10" s="50"/>
    </row>
    <row r="11" spans="1:17" ht="13.9" customHeight="1"/>
    <row r="12" spans="1:17">
      <c r="B12" s="20" t="s">
        <v>16</v>
      </c>
      <c r="G12" s="26" t="s">
        <v>17</v>
      </c>
    </row>
    <row r="13" spans="1:17">
      <c r="M13" s="25"/>
      <c r="N13" s="25"/>
      <c r="O13" s="25"/>
      <c r="P13" s="25"/>
      <c r="Q13" s="25"/>
    </row>
    <row r="14" spans="1:17">
      <c r="M14" s="25"/>
      <c r="N14" s="25"/>
      <c r="O14" s="25"/>
      <c r="P14" s="25"/>
      <c r="Q14" s="25"/>
    </row>
    <row r="15" spans="1:17">
      <c r="M15" s="25"/>
      <c r="N15" s="25"/>
      <c r="O15" s="25"/>
      <c r="P15" s="25"/>
      <c r="Q15" s="25"/>
    </row>
    <row r="16" spans="1:17">
      <c r="M16" s="25"/>
      <c r="N16" s="25"/>
      <c r="O16" s="25"/>
      <c r="P16" s="25"/>
      <c r="Q16" s="25"/>
    </row>
    <row r="17" spans="2:17">
      <c r="M17" s="25"/>
      <c r="N17" s="25"/>
      <c r="O17" s="25"/>
      <c r="P17" s="25"/>
      <c r="Q17" s="25"/>
    </row>
    <row r="18" spans="2:17">
      <c r="M18" s="27"/>
      <c r="N18" s="27"/>
      <c r="O18" s="27"/>
      <c r="P18" s="27"/>
      <c r="Q18" s="27"/>
    </row>
    <row r="19" spans="2:17">
      <c r="M19" s="27"/>
      <c r="N19" s="27"/>
      <c r="O19" s="27"/>
      <c r="P19" s="27"/>
      <c r="Q19" s="27"/>
    </row>
    <row r="20" spans="2:17">
      <c r="M20" s="27"/>
      <c r="N20" s="27"/>
      <c r="O20" s="27"/>
      <c r="P20" s="27"/>
      <c r="Q20" s="27"/>
    </row>
    <row r="21" spans="2:17">
      <c r="M21" s="27"/>
      <c r="N21" s="27"/>
      <c r="O21" s="27"/>
      <c r="P21" s="27"/>
      <c r="Q21" s="27"/>
    </row>
    <row r="22" spans="2:17">
      <c r="M22" s="27"/>
      <c r="N22" s="27"/>
      <c r="O22" s="27"/>
      <c r="P22" s="27"/>
      <c r="Q22" s="27"/>
    </row>
    <row r="23" spans="2:17">
      <c r="M23" s="27"/>
      <c r="N23" s="27"/>
      <c r="O23" s="27"/>
      <c r="P23" s="27"/>
      <c r="Q23" s="27"/>
    </row>
    <row r="24" spans="2:17">
      <c r="B24" s="24" t="str">
        <f>"UDF交易量分布(依到期月份) -"&amp;MONTH(Data!$B$1)&amp;"/"&amp;DAY(Data!$B$1)&amp;"~"&amp;MONTH(Data!$C$1)&amp;"/"&amp;DAY(Data!$C$1)</f>
        <v>UDF交易量分布(依到期月份) -1/0~1/0</v>
      </c>
      <c r="G24" s="28" t="str">
        <f>"SPF交易量分布(依到期月份) -"&amp;MONTH(Data!$B$1)&amp;"/"&amp;DAY(Data!$B$1)&amp;"~"&amp;MONTH(Data!$C$1)&amp;"/"&amp;DAY(Data!$C$1)</f>
        <v>SPF交易量分布(依到期月份) -1/0~1/0</v>
      </c>
      <c r="M24" s="25"/>
      <c r="N24" s="25"/>
      <c r="O24" s="25"/>
      <c r="P24" s="25"/>
      <c r="Q24" s="25"/>
    </row>
    <row r="25" spans="2:17">
      <c r="M25" s="25"/>
      <c r="N25" s="25"/>
      <c r="O25" s="25"/>
      <c r="P25" s="25"/>
      <c r="Q25" s="25"/>
    </row>
    <row r="26" spans="2:17">
      <c r="M26" s="25"/>
      <c r="N26" s="25"/>
      <c r="O26" s="25"/>
      <c r="P26" s="25"/>
      <c r="Q26" s="25"/>
    </row>
    <row r="27" spans="2:17">
      <c r="M27" s="25"/>
      <c r="N27" s="25"/>
      <c r="O27" s="25"/>
      <c r="P27" s="25"/>
      <c r="Q27" s="25"/>
    </row>
    <row r="28" spans="2:17">
      <c r="M28" s="25"/>
      <c r="N28" s="25"/>
      <c r="O28" s="25"/>
      <c r="P28" s="25"/>
      <c r="Q28" s="25"/>
    </row>
    <row r="29" spans="2:17">
      <c r="M29" s="25"/>
      <c r="N29" s="25"/>
      <c r="O29" s="25"/>
      <c r="P29" s="25"/>
      <c r="Q29" s="25"/>
    </row>
    <row r="30" spans="2:17">
      <c r="M30" s="25"/>
      <c r="N30" s="25"/>
      <c r="O30" s="25"/>
      <c r="P30" s="25"/>
      <c r="Q30" s="25"/>
    </row>
    <row r="31" spans="2:17">
      <c r="M31" s="25"/>
      <c r="N31" s="25"/>
      <c r="O31" s="25"/>
      <c r="P31" s="25"/>
      <c r="Q31" s="25"/>
    </row>
    <row r="32" spans="2:17">
      <c r="M32" s="25"/>
      <c r="N32" s="25"/>
      <c r="O32" s="25"/>
      <c r="P32" s="25"/>
      <c r="Q32" s="25"/>
    </row>
    <row r="36" spans="1:11">
      <c r="B36" s="24" t="str">
        <f>"UDF未平倉量分布(依到期月份) -"&amp;MONTH(Data!$C$1)&amp;"/"&amp;DAY(Data!$C$1)</f>
        <v>UDF未平倉量分布(依到期月份) -1/0</v>
      </c>
      <c r="G36" s="24" t="str">
        <f>"SPF未平倉量分布(依到期月份) -"&amp;MONTH(Data!$C$1)&amp;"/"&amp;DAY(Data!$C$1)</f>
        <v>SPF未平倉量分布(依到期月份) -1/0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3">
        <v>1</v>
      </c>
    </row>
    <row r="50" spans="6:6">
      <c r="F50" s="46" t="s">
        <v>18</v>
      </c>
    </row>
    <row r="63" spans="6:6" ht="19.5">
      <c r="F63" s="22" t="s">
        <v>19</v>
      </c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3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1" manualBreakCount="1">
    <brk id="47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2016-12-27T03:55:22Z</cp:lastPrinted>
  <dcterms:created xsi:type="dcterms:W3CDTF">2015-07-28T01:40:14Z</dcterms:created>
  <dcterms:modified xsi:type="dcterms:W3CDTF">2019-04-03T06:58:59Z</dcterms:modified>
</cp:coreProperties>
</file>